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dan nabila\Downloads\Magang_DISKOMINFO_Batu\Regresi_SDI (Satu Data Indonesia)\"/>
    </mc:Choice>
  </mc:AlternateContent>
  <xr:revisionPtr revIDLastSave="0" documentId="13_ncr:1_{7FB106B5-2581-4966-8759-853063D4793E}" xr6:coauthVersionLast="47" xr6:coauthVersionMax="47" xr10:uidLastSave="{00000000-0000-0000-0000-000000000000}"/>
  <bookViews>
    <workbookView xWindow="-110" yWindow="-110" windowWidth="25820" windowHeight="14620" activeTab="3" xr2:uid="{00000000-000D-0000-FFFF-FFFF00000000}"/>
  </bookViews>
  <sheets>
    <sheet name="Data Mentah" sheetId="1" r:id="rId1"/>
    <sheet name="Skor Variabel" sheetId="2" r:id="rId2"/>
    <sheet name="Analisis Deskriptif" sheetId="3" r:id="rId3"/>
    <sheet name="Siap Regres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A49" i="4"/>
  <c r="B49" i="4"/>
  <c r="C49" i="4"/>
  <c r="D49" i="4"/>
  <c r="E49" i="4"/>
  <c r="A3" i="4"/>
  <c r="B3" i="4"/>
  <c r="C3" i="4"/>
  <c r="D3" i="4"/>
  <c r="E3" i="4"/>
  <c r="A4" i="4"/>
  <c r="B4" i="4"/>
  <c r="C4" i="4"/>
  <c r="D4" i="4"/>
  <c r="E4" i="4"/>
  <c r="A5" i="4"/>
  <c r="B5" i="4"/>
  <c r="C5" i="4"/>
  <c r="D5" i="4"/>
  <c r="E5" i="4"/>
  <c r="A6" i="4"/>
  <c r="B6" i="4"/>
  <c r="C6" i="4"/>
  <c r="D6" i="4"/>
  <c r="E6" i="4"/>
  <c r="A7" i="4"/>
  <c r="B7" i="4"/>
  <c r="C7" i="4"/>
  <c r="D7" i="4"/>
  <c r="E7" i="4"/>
  <c r="A8" i="4"/>
  <c r="B8" i="4"/>
  <c r="C8" i="4"/>
  <c r="D8" i="4"/>
  <c r="E8" i="4"/>
  <c r="A9" i="4"/>
  <c r="B9" i="4"/>
  <c r="C9" i="4"/>
  <c r="D9" i="4"/>
  <c r="E9" i="4"/>
  <c r="A10" i="4"/>
  <c r="B10" i="4"/>
  <c r="C10" i="4"/>
  <c r="D10" i="4"/>
  <c r="E10" i="4"/>
  <c r="A11" i="4"/>
  <c r="B11" i="4"/>
  <c r="C11" i="4"/>
  <c r="D11" i="4"/>
  <c r="E11" i="4"/>
  <c r="A12" i="4"/>
  <c r="B12" i="4"/>
  <c r="C12" i="4"/>
  <c r="D12" i="4"/>
  <c r="E12" i="4"/>
  <c r="A13" i="4"/>
  <c r="B13" i="4"/>
  <c r="C13" i="4"/>
  <c r="D13" i="4"/>
  <c r="E13" i="4"/>
  <c r="A14" i="4"/>
  <c r="B14" i="4"/>
  <c r="D14" i="4"/>
  <c r="E14" i="4"/>
  <c r="A15" i="4"/>
  <c r="B15" i="4"/>
  <c r="C15" i="4"/>
  <c r="D15" i="4"/>
  <c r="E15" i="4"/>
  <c r="A16" i="4"/>
  <c r="B16" i="4"/>
  <c r="C16" i="4"/>
  <c r="D16" i="4"/>
  <c r="E16" i="4"/>
  <c r="A17" i="4"/>
  <c r="B17" i="4"/>
  <c r="C17" i="4"/>
  <c r="D17" i="4"/>
  <c r="E17" i="4"/>
  <c r="A18" i="4"/>
  <c r="B18" i="4"/>
  <c r="C18" i="4"/>
  <c r="D18" i="4"/>
  <c r="E18" i="4"/>
  <c r="A19" i="4"/>
  <c r="B19" i="4"/>
  <c r="C19" i="4"/>
  <c r="D19" i="4"/>
  <c r="E19" i="4"/>
  <c r="A20" i="4"/>
  <c r="B20" i="4"/>
  <c r="C20" i="4"/>
  <c r="D20" i="4"/>
  <c r="E20" i="4"/>
  <c r="A21" i="4"/>
  <c r="B21" i="4"/>
  <c r="C21" i="4"/>
  <c r="D21" i="4"/>
  <c r="E21" i="4"/>
  <c r="A22" i="4"/>
  <c r="B22" i="4"/>
  <c r="C22" i="4"/>
  <c r="D22" i="4"/>
  <c r="E22" i="4"/>
  <c r="A23" i="4"/>
  <c r="B23" i="4"/>
  <c r="C23" i="4"/>
  <c r="D23" i="4"/>
  <c r="E23" i="4"/>
  <c r="A24" i="4"/>
  <c r="B24" i="4"/>
  <c r="C24" i="4"/>
  <c r="D24" i="4"/>
  <c r="E24" i="4"/>
  <c r="A25" i="4"/>
  <c r="B25" i="4"/>
  <c r="C25" i="4"/>
  <c r="D25" i="4"/>
  <c r="E25" i="4"/>
  <c r="A26" i="4"/>
  <c r="B26" i="4"/>
  <c r="C26" i="4"/>
  <c r="D26" i="4"/>
  <c r="E26" i="4"/>
  <c r="A27" i="4"/>
  <c r="B27" i="4"/>
  <c r="C27" i="4"/>
  <c r="D27" i="4"/>
  <c r="E27" i="4"/>
  <c r="A28" i="4"/>
  <c r="B28" i="4"/>
  <c r="C28" i="4"/>
  <c r="D28" i="4"/>
  <c r="E28" i="4"/>
  <c r="A29" i="4"/>
  <c r="B29" i="4"/>
  <c r="C29" i="4"/>
  <c r="D29" i="4"/>
  <c r="E29" i="4"/>
  <c r="A30" i="4"/>
  <c r="B30" i="4"/>
  <c r="C30" i="4"/>
  <c r="D30" i="4"/>
  <c r="E30" i="4"/>
  <c r="A31" i="4"/>
  <c r="B31" i="4"/>
  <c r="C31" i="4"/>
  <c r="D31" i="4"/>
  <c r="E31" i="4"/>
  <c r="A32" i="4"/>
  <c r="B32" i="4"/>
  <c r="C32" i="4"/>
  <c r="D32" i="4"/>
  <c r="E32" i="4"/>
  <c r="A33" i="4"/>
  <c r="B33" i="4"/>
  <c r="C33" i="4"/>
  <c r="D33" i="4"/>
  <c r="E33" i="4"/>
  <c r="A34" i="4"/>
  <c r="B34" i="4"/>
  <c r="C34" i="4"/>
  <c r="D34" i="4"/>
  <c r="E34" i="4"/>
  <c r="A35" i="4"/>
  <c r="B35" i="4"/>
  <c r="C35" i="4"/>
  <c r="D35" i="4"/>
  <c r="E35" i="4"/>
  <c r="A36" i="4"/>
  <c r="B36" i="4"/>
  <c r="C36" i="4"/>
  <c r="D36" i="4"/>
  <c r="E36" i="4"/>
  <c r="A37" i="4"/>
  <c r="B37" i="4"/>
  <c r="C37" i="4"/>
  <c r="D37" i="4"/>
  <c r="E37" i="4"/>
  <c r="A38" i="4"/>
  <c r="B38" i="4"/>
  <c r="C38" i="4"/>
  <c r="D38" i="4"/>
  <c r="E38" i="4"/>
  <c r="A39" i="4"/>
  <c r="B39" i="4"/>
  <c r="C39" i="4"/>
  <c r="D39" i="4"/>
  <c r="E39" i="4"/>
  <c r="A40" i="4"/>
  <c r="B40" i="4"/>
  <c r="C40" i="4"/>
  <c r="D40" i="4"/>
  <c r="E40" i="4"/>
  <c r="A41" i="4"/>
  <c r="B41" i="4"/>
  <c r="C41" i="4"/>
  <c r="D41" i="4"/>
  <c r="E41" i="4"/>
  <c r="A42" i="4"/>
  <c r="B42" i="4"/>
  <c r="C42" i="4"/>
  <c r="D42" i="4"/>
  <c r="E42" i="4"/>
  <c r="A43" i="4"/>
  <c r="B43" i="4"/>
  <c r="C43" i="4"/>
  <c r="D43" i="4"/>
  <c r="E43" i="4"/>
  <c r="A44" i="4"/>
  <c r="B44" i="4"/>
  <c r="C44" i="4"/>
  <c r="D44" i="4"/>
  <c r="E44" i="4"/>
  <c r="A45" i="4"/>
  <c r="B45" i="4"/>
  <c r="C45" i="4"/>
  <c r="D45" i="4"/>
  <c r="E45" i="4"/>
  <c r="A46" i="4"/>
  <c r="B46" i="4"/>
  <c r="C46" i="4"/>
  <c r="D46" i="4"/>
  <c r="E46" i="4"/>
  <c r="A47" i="4"/>
  <c r="B47" i="4"/>
  <c r="C47" i="4"/>
  <c r="D47" i="4"/>
  <c r="E47" i="4"/>
  <c r="A48" i="4"/>
  <c r="B48" i="4"/>
  <c r="C48" i="4"/>
  <c r="D48" i="4"/>
  <c r="E48" i="4"/>
  <c r="B2" i="4"/>
  <c r="C2" i="4"/>
  <c r="D2" i="4"/>
  <c r="E2" i="4"/>
  <c r="A2" i="4"/>
  <c r="E3" i="2"/>
  <c r="E2" i="3"/>
  <c r="E3" i="3"/>
  <c r="E4" i="3"/>
  <c r="E5" i="3"/>
  <c r="E6" i="3"/>
  <c r="D2" i="3"/>
  <c r="D3" i="3"/>
  <c r="D4" i="3"/>
  <c r="D5" i="3"/>
  <c r="D6" i="3"/>
  <c r="C2" i="3"/>
  <c r="C3" i="3"/>
  <c r="C4" i="3"/>
  <c r="C5" i="3"/>
  <c r="C6" i="3"/>
  <c r="B2" i="3"/>
  <c r="B3" i="3"/>
  <c r="B4" i="3"/>
  <c r="B5" i="3"/>
  <c r="B6" i="3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</calcChain>
</file>

<file path=xl/sharedStrings.xml><?xml version="1.0" encoding="utf-8"?>
<sst xmlns="http://schemas.openxmlformats.org/spreadsheetml/2006/main" count="194" uniqueCount="117">
  <si>
    <t>Responden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</si>
  <si>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</si>
  <si>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</si>
  <si>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</si>
  <si>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</si>
  <si>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</si>
  <si>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</si>
  <si>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</si>
  <si>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</si>
  <si>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</si>
  <si>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</si>
  <si>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</si>
  <si>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</si>
  <si>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</si>
  <si>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</si>
  <si>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</si>
  <si>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</si>
  <si>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</si>
  <si>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</si>
  <si>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</si>
  <si>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</si>
  <si>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</si>
  <si>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</si>
  <si>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</si>
  <si>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</si>
  <si>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</si>
  <si>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</si>
  <si>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</si>
  <si>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</si>
  <si>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</si>
  <si>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</si>
  <si>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</si>
  <si>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</si>
  <si>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</si>
  <si>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</si>
  <si>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</si>
  <si>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X1_Komunikasi</t>
  </si>
  <si>
    <t>X2_SumberDaya</t>
  </si>
  <si>
    <t>X3_Disposisi</t>
  </si>
  <si>
    <t>X4_StrukturBirokrasi</t>
  </si>
  <si>
    <t>Y_Keberhasilan</t>
  </si>
  <si>
    <t>Variabel</t>
  </si>
  <si>
    <t>Mean</t>
  </si>
  <si>
    <t>Min</t>
  </si>
  <si>
    <t>Max</t>
  </si>
  <si>
    <t>StdDev</t>
  </si>
  <si>
    <t>Dinas Komunikasi dan Informatika</t>
  </si>
  <si>
    <t>Dinas Kesehatan</t>
  </si>
  <si>
    <t>Badan Penanggulangan Bencana Daerah Kota Batu</t>
  </si>
  <si>
    <t>Dinas Tenaga Kerja</t>
  </si>
  <si>
    <t>Dinas Perumahan dan Kawasan Permukiman Kota Batu</t>
  </si>
  <si>
    <t>Badan Keuangan dan Aset Daerah</t>
  </si>
  <si>
    <t>Dinas Perhubungan</t>
  </si>
  <si>
    <t>DPPPAPPKB</t>
  </si>
  <si>
    <t>Dinas Pariwisata</t>
  </si>
  <si>
    <t>Inspektorat Kota Batu</t>
  </si>
  <si>
    <t>Sekretariat DPRD Kota Batu</t>
  </si>
  <si>
    <t>Bagian Protokol dan Komunikasi Pimpinan</t>
  </si>
  <si>
    <t>PUPR</t>
  </si>
  <si>
    <t>Dinas PUPR</t>
  </si>
  <si>
    <t>DPUPR</t>
  </si>
  <si>
    <t>Dinas PUPR Bina Marga</t>
  </si>
  <si>
    <t>Dinas Sosial</t>
  </si>
  <si>
    <t>Bagian Kesejahteraan Rakyat Sekretariat Daerah</t>
  </si>
  <si>
    <t>DISPERPUSIP</t>
  </si>
  <si>
    <t>Bagian Perekonomian dan Sumber Daya Alam</t>
  </si>
  <si>
    <t>BKPSDM Kota Batu</t>
  </si>
  <si>
    <t xml:space="preserve">Dinas Pertanian dan Ketahanan Pangan </t>
  </si>
  <si>
    <t xml:space="preserve">BAPPELITBANGDA </t>
  </si>
  <si>
    <t>BAPPELITBANGDA Kota Batu</t>
  </si>
  <si>
    <t>Dinas Kebakaran dan Penyelamatan</t>
  </si>
  <si>
    <t>Kecamatan Kota Batu</t>
  </si>
  <si>
    <t>Kecamatan Junrejo</t>
  </si>
  <si>
    <t>Dinas Lingkungan Hidup</t>
  </si>
  <si>
    <t>Kecamatan Bumiaji</t>
  </si>
  <si>
    <t>Dinas Kependudukan dan Pencatatan Sipil</t>
  </si>
  <si>
    <t>Dinas Koperasi, Usaha Mikro, Perindustrian dan Perdagangan</t>
  </si>
  <si>
    <t>Bag Umum</t>
  </si>
  <si>
    <t>BAPPELITBANGDA</t>
  </si>
  <si>
    <t>Bagian Hukum Setda Kota Batu</t>
  </si>
  <si>
    <t>Dinas Pendidikan</t>
  </si>
  <si>
    <t>Bagian Administrasi Pembangunan</t>
  </si>
  <si>
    <t>Badan Pendapatan Daerah Kota Batu</t>
  </si>
  <si>
    <t>Bagian Pemerintahan</t>
  </si>
  <si>
    <t>Bagian Organisasi Sekretariat Daerah Kota Batu</t>
  </si>
  <si>
    <t>DPMPTSP</t>
  </si>
  <si>
    <t>Bagian Pengadaan Barang dan Jasa Setda Kota Batu</t>
  </si>
  <si>
    <t>BAKESBANGPOL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</si>
  <si>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</si>
  <si>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</si>
  <si>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</si>
  <si>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</si>
  <si>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</si>
  <si>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</si>
  <si>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</si>
  <si>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</si>
  <si>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</si>
  <si>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</si>
  <si>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</si>
  <si>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</si>
  <si>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</si>
  <si>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</si>
  <si>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</si>
  <si>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</si>
  <si>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</si>
  <si>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</si>
  <si>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</si>
  <si>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</si>
  <si>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</si>
  <si>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</si>
  <si>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</si>
  <si>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</si>
  <si>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Koefisien</t>
  </si>
  <si>
    <t>P-Value</t>
  </si>
  <si>
    <t>Signifikan?</t>
  </si>
  <si>
    <t>Tidak</t>
  </si>
  <si>
    <t>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</si>
</sst>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5" fillId="3" borderId="1" xfId="0" applyFont="1" applyFill="1" applyBorder="1"/>
    <xf numFmtId="0" fontId="2" fillId="3" borderId="1" xfId="0" applyFont="1" applyFill="1" applyBorder="1"/>
    <xf numFmtId="0" fontId="5" fillId="4" borderId="0" xfId="0" applyFont="1" applyFill="1"/>
    <xf numFmtId="0" fontId="5" fillId="4" borderId="1" xfId="0" applyFont="1" applyFill="1" applyBorder="1"/>
    <xf numFmtId="0" fontId="2" fillId="4" borderId="1" xfId="0" applyFont="1" applyFill="1" applyBorder="1"/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2" fillId="5" borderId="1" xfId="0" applyFont="1" applyFill="1" applyBorder="1"/>
    <xf numFmtId="0" fontId="7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Continuous"/>
    </xf>
    <xf numFmtId="0" fontId="8" fillId="4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5" fillId="6" borderId="1" xfId="0" applyFont="1" applyFill="1" applyBorder="1"/>
    <xf numFmtId="0" fontId="5" fillId="5" borderId="0" xfId="0" applyFont="1" applyFill="1"/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5" fillId="7" borderId="1" xfId="0" applyFont="1" applyFill="1" applyBorder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5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77"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Hubungan Disposisi dengan Keberhasilan SDI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'Skor Variabel'!$F$1</c:f>
              <c:strCache>
                <c:ptCount val="1"/>
                <c:pt idx="0">
                  <c:v>Y_Keberhasilan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92D05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'Skor Variabel'!$D$2:$D$49</c:f>
              <c:numCache>
                <c:formatCode>General</c:formatCode>
                <c:ptCount val="48"/>
                <c:pt idx="0">
                  <c:v>2.7142857142857144</c:v>
                </c:pt>
                <c:pt idx="1">
                  <c:v>3</c:v>
                </c:pt>
                <c:pt idx="2">
                  <c:v>3</c:v>
                </c:pt>
                <c:pt idx="3">
                  <c:v>2.7142857142857144</c:v>
                </c:pt>
                <c:pt idx="4">
                  <c:v>3.4285714285714284</c:v>
                </c:pt>
                <c:pt idx="5">
                  <c:v>3.7142857142857144</c:v>
                </c:pt>
                <c:pt idx="6">
                  <c:v>3.2857142857142856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3.1428571428571428</c:v>
                </c:pt>
                <c:pt idx="11">
                  <c:v>3.4285714285714284</c:v>
                </c:pt>
                <c:pt idx="12">
                  <c:v>4</c:v>
                </c:pt>
                <c:pt idx="13">
                  <c:v>3</c:v>
                </c:pt>
                <c:pt idx="14">
                  <c:v>3.2857142857142856</c:v>
                </c:pt>
                <c:pt idx="15">
                  <c:v>3.4285714285714284</c:v>
                </c:pt>
                <c:pt idx="16">
                  <c:v>3.1428571428571428</c:v>
                </c:pt>
                <c:pt idx="17">
                  <c:v>2.8571428571428572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3.4285714285714284</c:v>
                </c:pt>
                <c:pt idx="24">
                  <c:v>3</c:v>
                </c:pt>
                <c:pt idx="25">
                  <c:v>3.4285714285714284</c:v>
                </c:pt>
                <c:pt idx="26">
                  <c:v>3</c:v>
                </c:pt>
                <c:pt idx="27">
                  <c:v>3</c:v>
                </c:pt>
                <c:pt idx="28">
                  <c:v>3.4285714285714284</c:v>
                </c:pt>
                <c:pt idx="29">
                  <c:v>3</c:v>
                </c:pt>
                <c:pt idx="30">
                  <c:v>3</c:v>
                </c:pt>
                <c:pt idx="31">
                  <c:v>3.5714285714285716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3.1428571428571428</c:v>
                </c:pt>
                <c:pt idx="37">
                  <c:v>3.7142857142857144</c:v>
                </c:pt>
                <c:pt idx="38">
                  <c:v>3.2857142857142856</c:v>
                </c:pt>
                <c:pt idx="39">
                  <c:v>3.2857142857142856</c:v>
                </c:pt>
                <c:pt idx="40">
                  <c:v>3</c:v>
                </c:pt>
                <c:pt idx="41">
                  <c:v>3.1428571428571428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3.5714285714285716</c:v>
                </c:pt>
                <c:pt idx="46">
                  <c:v>3.1428571428571428</c:v>
                </c:pt>
                <c:pt idx="47">
                  <c:v>2.7142857142857144</c:v>
                </c:pt>
              </c:numCache>
            </c:numRef>
          </c:xVal>
          <c:yVal>
            <c:numRef>
              <c:f>'Skor Variabel'!$F$2:$F$49</c:f>
              <c:numCache>
                <c:formatCode>General</c:formatCode>
                <c:ptCount val="48"/>
                <c:pt idx="0">
                  <c:v>2.375</c:v>
                </c:pt>
                <c:pt idx="1">
                  <c:v>3</c:v>
                </c:pt>
                <c:pt idx="2">
                  <c:v>3</c:v>
                </c:pt>
                <c:pt idx="3">
                  <c:v>2.625</c:v>
                </c:pt>
                <c:pt idx="4">
                  <c:v>2.25</c:v>
                </c:pt>
                <c:pt idx="5">
                  <c:v>3.375</c:v>
                </c:pt>
                <c:pt idx="6">
                  <c:v>3.625</c:v>
                </c:pt>
                <c:pt idx="7">
                  <c:v>3.5</c:v>
                </c:pt>
                <c:pt idx="8">
                  <c:v>3.125</c:v>
                </c:pt>
                <c:pt idx="9">
                  <c:v>4</c:v>
                </c:pt>
                <c:pt idx="10">
                  <c:v>2.875</c:v>
                </c:pt>
                <c:pt idx="11">
                  <c:v>3.375</c:v>
                </c:pt>
                <c:pt idx="12">
                  <c:v>4</c:v>
                </c:pt>
                <c:pt idx="13">
                  <c:v>3</c:v>
                </c:pt>
                <c:pt idx="14">
                  <c:v>3.125</c:v>
                </c:pt>
                <c:pt idx="15">
                  <c:v>3</c:v>
                </c:pt>
                <c:pt idx="16">
                  <c:v>2.875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3.625</c:v>
                </c:pt>
                <c:pt idx="21">
                  <c:v>3</c:v>
                </c:pt>
                <c:pt idx="22">
                  <c:v>3</c:v>
                </c:pt>
                <c:pt idx="23">
                  <c:v>3.25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3.25</c:v>
                </c:pt>
                <c:pt idx="28">
                  <c:v>3.25</c:v>
                </c:pt>
                <c:pt idx="29">
                  <c:v>3.125</c:v>
                </c:pt>
                <c:pt idx="30">
                  <c:v>3</c:v>
                </c:pt>
                <c:pt idx="31">
                  <c:v>3.125</c:v>
                </c:pt>
                <c:pt idx="32">
                  <c:v>3</c:v>
                </c:pt>
                <c:pt idx="33">
                  <c:v>4</c:v>
                </c:pt>
                <c:pt idx="34">
                  <c:v>3</c:v>
                </c:pt>
                <c:pt idx="35">
                  <c:v>3</c:v>
                </c:pt>
                <c:pt idx="36">
                  <c:v>3.125</c:v>
                </c:pt>
                <c:pt idx="37">
                  <c:v>3.625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2.75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3.25</c:v>
                </c:pt>
                <c:pt idx="46">
                  <c:v>3</c:v>
                </c:pt>
                <c:pt idx="47">
                  <c:v>2.375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6C-4A07-AFBC-DF303C438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206767"/>
        <c:axId val="1094223567"/>
      </c:scatterChart>
      <c:valAx>
        <c:axId val="1094206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23567"/>
        <c:crosses val="autoZero"/>
        <c:crossBetween val="midCat"/>
      </c:valAx>
      <c:valAx>
        <c:axId val="109422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067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/>
              <a:t>Rata-rata Skor Variabel SDI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Deskriptif'!$B$1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C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28-4665-BF6A-E0B937D18587}"/>
              </c:ext>
            </c:extLst>
          </c:dPt>
          <c:dPt>
            <c:idx val="1"/>
            <c:invertIfNegative val="0"/>
            <c:bubble3D val="0"/>
            <c:spPr>
              <a:solidFill>
                <a:srgbClr val="CC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628-4665-BF6A-E0B937D18587}"/>
              </c:ext>
            </c:extLst>
          </c:dPt>
          <c:dPt>
            <c:idx val="2"/>
            <c:invertIfNegative val="0"/>
            <c:bubble3D val="0"/>
            <c:spPr>
              <a:solidFill>
                <a:srgbClr val="CC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28-4665-BF6A-E0B937D18587}"/>
              </c:ext>
            </c:extLst>
          </c:dPt>
          <c:dPt>
            <c:idx val="3"/>
            <c:invertIfNegative val="0"/>
            <c:bubble3D val="0"/>
            <c:spPr>
              <a:solidFill>
                <a:srgbClr val="CC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28-4665-BF6A-E0B937D18587}"/>
              </c:ext>
            </c:extLst>
          </c:dPt>
          <c:dPt>
            <c:idx val="4"/>
            <c:invertIfNegative val="0"/>
            <c:bubble3D val="0"/>
            <c:spPr>
              <a:solidFill>
                <a:srgbClr val="CCCC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28-4665-BF6A-E0B937D185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'Analisis Deskriptif'!$A$2:$A$6</c:f>
              <c:strCache>
                <c:ptCount val="5"/>
                <c:pt idx="0">
                  <c:v>X1_Komunikasi</c:v>
                </c:pt>
                <c:pt idx="1">
                  <c:v>X2_SumberDaya</c:v>
                </c:pt>
                <c:pt idx="2">
                  <c:v>X3_Disposisi</c:v>
                </c:pt>
                <c:pt idx="3">
                  <c:v>X4_StrukturBirokrasi</c:v>
                </c:pt>
                <c:pt idx="4">
                  <c:v>Y_Keberhasilan</c:v>
                </c:pt>
              </c:strCache>
            </c:strRef>
          </c:cat>
          <c:val>
            <c:numRef>
              <c:f>'Analisis Deskriptif'!$B$2:$B$6</c:f>
              <c:numCache>
                <c:formatCode>General</c:formatCode>
                <c:ptCount val="5"/>
                <c:pt idx="0">
                  <c:v>3.1220238095238102</c:v>
                </c:pt>
                <c:pt idx="1">
                  <c:v>3.1398176291793316</c:v>
                </c:pt>
                <c:pt idx="2">
                  <c:v>3.1428571428571432</c:v>
                </c:pt>
                <c:pt idx="3">
                  <c:v>3.1460317460317464</c:v>
                </c:pt>
                <c:pt idx="4">
                  <c:v>3.1655844155844162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7-45FD-AEDC-461AE2807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727536"/>
        <c:axId val="937728016"/>
      </c:barChart>
      <c:catAx>
        <c:axId val="93772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7728016"/>
        <c:crosses val="autoZero"/>
        <c:auto val="1"/>
        <c:lblAlgn val="ctr"/>
        <c:lblOffset val="100"/>
        <c:noMultiLvlLbl val="0"/>
      </c:catAx>
      <c:valAx>
        <c:axId val="9377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3772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Kontribusi Variabel Terhadap Keberhasilan SDI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4B-48DD-B0CF-3D77CDF89AD4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4B-48DD-B0CF-3D77CDF89A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'Siap Regresi'!$J$28:$J$31</c:f>
              <c:strCache>
                <c:ptCount val="4"/>
                <c:pt idx="0">
                  <c:v>X1_Komunikasi</c:v>
                </c:pt>
                <c:pt idx="1">
                  <c:v>X2_SumberDaya</c:v>
                </c:pt>
                <c:pt idx="2">
                  <c:v>X3_Disposisi</c:v>
                </c:pt>
                <c:pt idx="3">
                  <c:v>X4_StrukturBirokrasi</c:v>
                </c:pt>
              </c:strCache>
            </c:strRef>
          </c:cat>
          <c:val>
            <c:numRef>
              <c:f>'Siap Regresi'!$K$28:$K$31</c:f>
              <c:numCache>
                <c:formatCode>General</c:formatCode>
                <c:ptCount val="4"/>
                <c:pt idx="0">
                  <c:v>0.109233705121801</c:v>
                </c:pt>
                <c:pt idx="1">
                  <c:v>0.13158390767585401</c:v>
                </c:pt>
                <c:pt idx="2">
                  <c:v>0.36883893214314001</c:v>
                </c:pt>
                <c:pt idx="3">
                  <c:v>0.31305547842855402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0C4B-48DD-B0CF-3D77CDF89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257647"/>
        <c:axId val="1094258127"/>
      </c:barChart>
      <c:catAx>
        <c:axId val="109425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4258127"/>
        <c:crosses val="autoZero"/>
        <c:auto val="1"/>
        <c:lblAlgn val="ctr"/>
        <c:lblOffset val="100"/>
        <c:noMultiLvlLbl val="0"/>
      </c:catAx>
      <c:valAx>
        <c:axId val="10942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94257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244475</xdr:colOff>
      <xdr:row>9</xdr:row>
      <xdr:rowOff>188686</xdr:rowOff>
    </xdr:from>
    <xdr:to>
      <xdr:col>15</xdr:col>
      <xdr:colOff>558346</xdr:colOff>
      <xdr:row>23</xdr:row>
      <xdr:rowOff>175986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7BA74D-FB98-AE0E-597E-691189E87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269875</xdr:colOff>
      <xdr:row>9</xdr:row>
      <xdr:rowOff>95250</xdr:rowOff>
    </xdr:from>
    <xdr:to>
      <xdr:col>5</xdr:col>
      <xdr:colOff>79375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3048E-DB77-51A1-21CF-3DCE0D447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31750</xdr:colOff>
      <xdr:row>32</xdr:row>
      <xdr:rowOff>20864</xdr:rowOff>
    </xdr:from>
    <xdr:to>
      <xdr:col>13</xdr:col>
      <xdr:colOff>485322</xdr:colOff>
      <xdr:row>45</xdr:row>
      <xdr:rowOff>169635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688FA2-964F-915E-D0F0-FC88E9B1E1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9C10B9-70E8-49A9-B29F-834E2099563C}" name="Table2" displayName="Table2" ref="A1:AJ49" totalsRowShown="0" headerRowDxfId="76" dataDxfId="74" headerRowBorderDxfId="75" tableBorderDxfId="73">
  <autoFilter ref="A1:AJ49" xr:uid="{A59C10B9-70E8-49A9-B29F-834E2099563C}"/>
  <tableColumns count="36">
    <tableColumn id="1" xr3:uid="{7D18A0C4-003C-4488-B94D-B70B596640FA}" name="Responden" dataDxfId="72"/>
    <tableColumn id="2" xr3:uid="{7C1F27FC-09FD-4CD7-A2FF-2D6EEEC1A974}" name="Q1" dataDxfId="71"/>
    <tableColumn id="3" xr3:uid="{0AC7E004-DBC7-4933-93AC-D2A47811054E}" name="Q2" dataDxfId="70"/>
    <tableColumn id="4" xr3:uid="{74F3CA91-E572-4AF9-B653-516211752E21}" name="Q3" dataDxfId="69"/>
    <tableColumn id="5" xr3:uid="{17F57894-61CA-4D57-BD59-FD751C7B811C}" name="Q4" dataDxfId="68"/>
    <tableColumn id="6" xr3:uid="{795035BF-2983-4D0B-A4CD-733CAB607B7D}" name="Q5" dataDxfId="67"/>
    <tableColumn id="7" xr3:uid="{86E6F14A-B536-4D22-B892-99C6BA8F4824}" name="Q6" dataDxfId="66"/>
    <tableColumn id="8" xr3:uid="{2A80CCA9-0961-410B-A946-E94FFB40757C}" name="Q7" dataDxfId="65"/>
    <tableColumn id="9" xr3:uid="{1C502B80-79F9-4217-8CEF-80DA9AF87258}" name="Q8" dataDxfId="64"/>
    <tableColumn id="10" xr3:uid="{52B974F7-5B6C-4B3C-AB62-91DA73AE02BE}" name="Q9" dataDxfId="63"/>
    <tableColumn id="11" xr3:uid="{CAF9C84E-06B1-4762-AF16-0DB080C73341}" name="Q10" dataDxfId="62"/>
    <tableColumn id="12" xr3:uid="{7ED2FA66-CDC6-46C9-BF7F-5FFC2496086A}" name="Q11" dataDxfId="61"/>
    <tableColumn id="13" xr3:uid="{2E1BA54F-578D-4130-9791-E44F75CB43B6}" name="Q12" dataDxfId="60"/>
    <tableColumn id="14" xr3:uid="{3386AC78-7DEC-435E-AD31-B7ACE80BDC6F}" name="Q13" dataDxfId="59"/>
    <tableColumn id="15" xr3:uid="{F72884A6-D6CB-480C-AE97-2FDB1F49A5C2}" name="Q14" dataDxfId="58"/>
    <tableColumn id="16" xr3:uid="{F94640A8-235B-4D87-BBC4-5DD3CEFC407D}" name="Q15" dataDxfId="57"/>
    <tableColumn id="17" xr3:uid="{21DF4C35-5DFF-4D7F-A0C4-229729B31217}" name="Q16" dataDxfId="56"/>
    <tableColumn id="18" xr3:uid="{E37847D6-65DA-4FE4-B80E-D7B1D6582BED}" name="Q17" dataDxfId="55"/>
    <tableColumn id="19" xr3:uid="{3CEFB081-ECFA-444B-9BF2-51C14C48F63F}" name="Q18" dataDxfId="54"/>
    <tableColumn id="20" xr3:uid="{2001EA64-B9FE-4BDB-97EA-0EE064464A49}" name="Q19" dataDxfId="53"/>
    <tableColumn id="21" xr3:uid="{6374435B-20AF-43F2-A61F-47142CB54454}" name="Q20" dataDxfId="52"/>
    <tableColumn id="22" xr3:uid="{F2C4F847-38D9-47E6-AF43-B8A7884CCF28}" name="Q21" dataDxfId="51"/>
    <tableColumn id="23" xr3:uid="{E6453400-D244-4ACB-B650-BBFB5806E2FB}" name="Q22" dataDxfId="50"/>
    <tableColumn id="24" xr3:uid="{AB977C23-E23D-4CF8-991C-897AB3DEDD88}" name="Q23" dataDxfId="49"/>
    <tableColumn id="25" xr3:uid="{04CE2576-1144-4473-B0FF-E57C453FEB3B}" name="Q24" dataDxfId="48"/>
    <tableColumn id="26" xr3:uid="{EAC9727B-07F0-4E58-AF6A-2417A91B538F}" name="Q25" dataDxfId="47"/>
    <tableColumn id="27" xr3:uid="{0F869AF7-635B-403C-B66E-CD6F7625B0CC}" name="Q26" dataDxfId="46"/>
    <tableColumn id="28" xr3:uid="{58D22139-0DC4-4EE6-8407-14FBC264F5F3}" name="Q27" dataDxfId="45"/>
    <tableColumn id="29" xr3:uid="{F17A7F94-6683-498D-B0BB-8F84E15246B3}" name="Q28" dataDxfId="44"/>
    <tableColumn id="30" xr3:uid="{027B52B3-EBA6-46AA-99F7-B99636715264}" name="Q29" dataDxfId="43"/>
    <tableColumn id="31" xr3:uid="{6B664187-574F-4A2C-9E55-CA8F50F89997}" name="Q30" dataDxfId="42"/>
    <tableColumn id="32" xr3:uid="{4F9C0F34-B671-4A1A-B5B6-5AE9A90D4D60}" name="Q31" dataDxfId="41"/>
    <tableColumn id="33" xr3:uid="{18947724-A7F1-4EF4-8EEC-78C4471ADED3}" name="Q32" dataDxfId="40"/>
    <tableColumn id="34" xr3:uid="{E0614EAC-DFD3-4C33-B350-5547EB619349}" name="Q33" dataDxfId="39"/>
    <tableColumn id="35" xr3:uid="{0FBBB2B6-5616-4F1B-9369-D140D4CC5AA5}" name="Q34" dataDxfId="38"/>
    <tableColumn id="36" xr3:uid="{C0BDD3CB-FDC5-40D6-9851-0E6443266116}" name="Q35" dataDxfId="37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F234C8A-C01C-4ED6-8AAE-7AC717CF58C9}" name="Table8" displayName="Table8" ref="A1:F49" totalsRowShown="0" headerRowDxfId="36" dataDxfId="34" headerRowBorderDxfId="35" tableBorderDxfId="33">
  <autoFilter ref="A1:F49" xr:uid="{3F234C8A-C01C-4ED6-8AAE-7AC717CF58C9}"/>
  <tableColumns count="6">
    <tableColumn id="1" xr3:uid="{E2EC7487-808F-4C29-958D-F93FB2DE41D2}" name="Responden" dataDxfId="32"/>
    <tableColumn id="2" xr3:uid="{404E1D88-7027-40E3-A0EB-240283334A67}" name="X1_Komunikasi" dataDxfId="18">
      <calculatedColumnFormula>AVERAGE('Data Mentah'!B2:H2)</calculatedColumnFormula>
    </tableColumn>
    <tableColumn id="3" xr3:uid="{B9D0120A-DF89-41AF-BD30-A26EA1EEA8AD}" name="X2_SumberDaya" dataDxfId="17">
      <calculatedColumnFormula>AVERAGE('Data Mentah'!I2:O2)</calculatedColumnFormula>
    </tableColumn>
    <tableColumn id="4" xr3:uid="{1856694F-2F01-4480-938A-3B4F9B10E287}" name="X3_Disposisi" dataDxfId="16">
      <calculatedColumnFormula>AVERAGE('Data Mentah'!P2:V2)</calculatedColumnFormula>
    </tableColumn>
    <tableColumn id="5" xr3:uid="{A92C2A73-80B3-4074-BBF5-2E77743F0D26}" name="X4_StrukturBirokrasi" dataDxfId="15">
      <calculatedColumnFormula>AVERAGE('Data Mentah'!W2:AB2)</calculatedColumnFormula>
    </tableColumn>
    <tableColumn id="6" xr3:uid="{8ECB7AED-FB34-4012-86E6-C71856D74B72}" name="Y_Keberhasilan" dataDxfId="14">
      <calculatedColumnFormula>AVERAGE('Data Mentah'!AC2:AJ2)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E87D22-E780-401C-AC7B-E669854D33B5}" name="Table9" displayName="Table9" ref="A1:E6" totalsRowShown="0" headerRowDxfId="13" dataDxfId="12" headerRowBorderDxfId="31" tableBorderDxfId="30" totalsRowBorderDxfId="29">
  <autoFilter ref="A1:E6" xr:uid="{50E87D22-E780-401C-AC7B-E669854D33B5}"/>
  <tableColumns count="5">
    <tableColumn id="1" xr3:uid="{B8FBFA33-0D18-4F1C-AC91-C4AD0C5D8248}" name="Variabel" dataDxfId="11"/>
    <tableColumn id="2" xr3:uid="{F0267367-8695-4D98-B9EA-5246877C3A16}" name="Mean" dataDxfId="10">
      <calculatedColumnFormula>AVERAGE('Skor Variabel'!B2:B49)</calculatedColumnFormula>
    </tableColumn>
    <tableColumn id="3" xr3:uid="{0C235E3A-C083-4A8D-978E-6D3A207AB5FB}" name="Min" dataDxfId="9">
      <calculatedColumnFormula>MIN('Skor Variabel'!B2:B49)</calculatedColumnFormula>
    </tableColumn>
    <tableColumn id="4" xr3:uid="{A0CDD87A-3F29-45DD-BF4B-6855AE657888}" name="Max" dataDxfId="8">
      <calculatedColumnFormula>MAX('Skor Variabel'!B2:B49)</calculatedColumnFormula>
    </tableColumn>
    <tableColumn id="5" xr3:uid="{E33B0CBD-282C-4CC9-BE71-7540AC1ECF67}" name="StdDev" dataDxfId="7">
      <calculatedColumnFormula>_xlfn.STDEV.S('Skor Variabel'!B2:B49)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F02CA9-0372-414D-A5B5-5CB85FD0372B}" name="Table1" displayName="Table1" ref="A1:E49" totalsRowShown="0" headerRowDxfId="1" dataDxfId="0" headerRowBorderDxfId="28" tableBorderDxfId="27" totalsRowBorderDxfId="26">
  <autoFilter ref="A1:E49" xr:uid="{ABF02CA9-0372-414D-A5B5-5CB85FD0372B}"/>
  <tableColumns count="5">
    <tableColumn id="1" xr3:uid="{EFF02F56-4D26-418E-B87E-1E7F1DBD7B10}" name="X1_Komunikasi" dataDxfId="6">
      <calculatedColumnFormula>'Skor Variabel'!B2</calculatedColumnFormula>
    </tableColumn>
    <tableColumn id="2" xr3:uid="{581A72E1-70BE-419B-9587-4E5706C95A01}" name="X2_SumberDaya" dataDxfId="5">
      <calculatedColumnFormula>'Skor Variabel'!C2</calculatedColumnFormula>
    </tableColumn>
    <tableColumn id="3" xr3:uid="{7EB76049-525B-492F-BC48-74BE6A73F39D}" name="X3_Disposisi" dataDxfId="4">
      <calculatedColumnFormula>'Skor Variabel'!D2</calculatedColumnFormula>
    </tableColumn>
    <tableColumn id="4" xr3:uid="{AB92B19F-C7D1-406F-ADAA-E87896515F68}" name="X4_StrukturBirokrasi" dataDxfId="3">
      <calculatedColumnFormula>'Skor Variabel'!E2</calculatedColumnFormula>
    </tableColumn>
    <tableColumn id="5" xr3:uid="{DACFA710-5EBD-4C7A-9136-2F216B2BEA6E}" name="Y_Keberhasilan" dataDxfId="2">
      <calculatedColumnFormula>'Skor Variabel'!F2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9"/>
  <sheetViews>
    <sheetView zoomScale="70" zoomScaleNormal="70" workbookViewId="0">
      <selection activeCell="O18" sqref="O18"/>
    </sheetView>
  </sheetViews>
  <sheetFormatPr defaultRowHeight="15.5" x14ac:dyDescent="0.35"/>
  <cols>
    <col min="1" max="1" width="55.81640625" style="1" bestFit="1" customWidth="1"/>
    <col min="2" max="3" width="8.7265625" style="1"/>
    <col min="4" max="36" width="8.7265625" style="3"/>
    <col min="37" max="16384" width="8.7265625" style="1"/>
  </cols>
  <sheetData>
    <row r="1" spans="1:3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x14ac:dyDescent="0.35">
      <c r="A2" s="6" t="s">
        <v>62</v>
      </c>
      <c r="B2" s="4">
        <v>3</v>
      </c>
      <c r="C2" s="4">
        <v>3</v>
      </c>
      <c r="D2" s="4">
        <v>2</v>
      </c>
      <c r="E2" s="4">
        <v>2</v>
      </c>
      <c r="F2" s="4">
        <v>3</v>
      </c>
      <c r="G2" s="4">
        <v>2</v>
      </c>
      <c r="H2" s="4">
        <v>1</v>
      </c>
      <c r="I2" s="4">
        <v>3</v>
      </c>
      <c r="J2" s="4">
        <v>3</v>
      </c>
      <c r="K2" s="4">
        <v>2</v>
      </c>
      <c r="L2" s="4">
        <v>2</v>
      </c>
      <c r="M2" s="4">
        <v>2</v>
      </c>
      <c r="N2" s="4">
        <v>2</v>
      </c>
      <c r="O2" s="4">
        <v>2</v>
      </c>
      <c r="P2" s="4">
        <v>2</v>
      </c>
      <c r="Q2" s="4">
        <v>2</v>
      </c>
      <c r="R2" s="4">
        <v>3</v>
      </c>
      <c r="S2" s="4">
        <v>3</v>
      </c>
      <c r="T2" s="4">
        <v>3</v>
      </c>
      <c r="U2" s="4">
        <v>3</v>
      </c>
      <c r="V2" s="4">
        <v>3</v>
      </c>
      <c r="W2" s="4">
        <v>2</v>
      </c>
      <c r="X2" s="4">
        <v>3</v>
      </c>
      <c r="Y2" s="4">
        <v>3</v>
      </c>
      <c r="Z2" s="4">
        <v>3</v>
      </c>
      <c r="AA2" s="4">
        <v>3</v>
      </c>
      <c r="AB2" s="4">
        <v>3</v>
      </c>
      <c r="AC2" s="4">
        <v>2</v>
      </c>
      <c r="AD2" s="4">
        <v>2</v>
      </c>
      <c r="AE2" s="4">
        <v>2</v>
      </c>
      <c r="AF2" s="4">
        <v>3</v>
      </c>
      <c r="AG2" s="4">
        <v>2</v>
      </c>
      <c r="AH2" s="4">
        <v>3</v>
      </c>
      <c r="AI2" s="4">
        <v>3</v>
      </c>
      <c r="AJ2" s="4">
        <v>2</v>
      </c>
    </row>
    <row r="3" spans="1:36" x14ac:dyDescent="0.35">
      <c r="A3" s="6" t="s">
        <v>46</v>
      </c>
      <c r="B3" s="4">
        <v>3</v>
      </c>
      <c r="C3" s="4">
        <v>3</v>
      </c>
      <c r="D3" s="4">
        <v>3</v>
      </c>
      <c r="E3" s="4">
        <v>3</v>
      </c>
      <c r="F3" s="4">
        <v>3</v>
      </c>
      <c r="G3" s="4">
        <v>3</v>
      </c>
      <c r="H3" s="4">
        <v>3</v>
      </c>
      <c r="I3" s="4">
        <v>3</v>
      </c>
      <c r="J3" s="4">
        <v>3</v>
      </c>
      <c r="K3" s="4">
        <v>3</v>
      </c>
      <c r="L3" s="4">
        <v>3</v>
      </c>
      <c r="M3" s="4">
        <v>3</v>
      </c>
      <c r="N3" s="4">
        <v>2</v>
      </c>
      <c r="O3" s="4">
        <v>3</v>
      </c>
      <c r="P3" s="4">
        <v>3</v>
      </c>
      <c r="Q3" s="4">
        <v>3</v>
      </c>
      <c r="R3" s="4">
        <v>3</v>
      </c>
      <c r="S3" s="4">
        <v>3</v>
      </c>
      <c r="T3" s="4">
        <v>3</v>
      </c>
      <c r="U3" s="4">
        <v>3</v>
      </c>
      <c r="V3" s="4">
        <v>3</v>
      </c>
      <c r="W3" s="4">
        <v>3</v>
      </c>
      <c r="X3" s="4">
        <v>3</v>
      </c>
      <c r="Y3" s="4">
        <v>3</v>
      </c>
      <c r="Z3" s="4">
        <v>3</v>
      </c>
      <c r="AA3" s="4">
        <v>3</v>
      </c>
      <c r="AB3" s="4">
        <v>4</v>
      </c>
      <c r="AC3" s="4">
        <v>3</v>
      </c>
      <c r="AD3" s="4">
        <v>3</v>
      </c>
      <c r="AE3" s="4">
        <v>3</v>
      </c>
      <c r="AF3" s="4">
        <v>3</v>
      </c>
      <c r="AG3" s="4">
        <v>3</v>
      </c>
      <c r="AH3" s="4">
        <v>3</v>
      </c>
      <c r="AI3" s="4">
        <v>3</v>
      </c>
      <c r="AJ3" s="4">
        <v>3</v>
      </c>
    </row>
    <row r="4" spans="1:36" x14ac:dyDescent="0.35">
      <c r="A4" s="6" t="s">
        <v>63</v>
      </c>
      <c r="B4" s="4">
        <v>3</v>
      </c>
      <c r="C4" s="4">
        <v>3</v>
      </c>
      <c r="D4" s="4">
        <v>3</v>
      </c>
      <c r="E4" s="4">
        <v>3</v>
      </c>
      <c r="F4" s="4">
        <v>3</v>
      </c>
      <c r="G4" s="4">
        <v>3</v>
      </c>
      <c r="H4" s="4">
        <v>3</v>
      </c>
      <c r="I4" s="4">
        <v>3</v>
      </c>
      <c r="J4" s="4">
        <v>3</v>
      </c>
      <c r="K4" s="4">
        <v>2</v>
      </c>
      <c r="L4" s="4">
        <v>2</v>
      </c>
      <c r="M4" s="4">
        <v>3</v>
      </c>
      <c r="N4" s="4">
        <v>2</v>
      </c>
      <c r="O4" s="4">
        <v>3</v>
      </c>
      <c r="P4" s="4">
        <v>3</v>
      </c>
      <c r="Q4" s="4">
        <v>3</v>
      </c>
      <c r="R4" s="4">
        <v>3</v>
      </c>
      <c r="S4" s="4">
        <v>3</v>
      </c>
      <c r="T4" s="4">
        <v>3</v>
      </c>
      <c r="U4" s="4">
        <v>3</v>
      </c>
      <c r="V4" s="4">
        <v>3</v>
      </c>
      <c r="W4" s="4">
        <v>2</v>
      </c>
      <c r="X4" s="4">
        <v>3</v>
      </c>
      <c r="Y4" s="4">
        <v>3</v>
      </c>
      <c r="Z4" s="4">
        <v>3</v>
      </c>
      <c r="AA4" s="4">
        <v>2</v>
      </c>
      <c r="AB4" s="4">
        <v>3</v>
      </c>
      <c r="AC4" s="4">
        <v>3</v>
      </c>
      <c r="AD4" s="4">
        <v>3</v>
      </c>
      <c r="AE4" s="4">
        <v>3</v>
      </c>
      <c r="AF4" s="4">
        <v>3</v>
      </c>
      <c r="AG4" s="4">
        <v>3</v>
      </c>
      <c r="AH4" s="4">
        <v>3</v>
      </c>
      <c r="AI4" s="4">
        <v>3</v>
      </c>
      <c r="AJ4" s="4">
        <v>3</v>
      </c>
    </row>
    <row r="5" spans="1:36" x14ac:dyDescent="0.35">
      <c r="A5" s="6" t="s">
        <v>47</v>
      </c>
      <c r="B5" s="4">
        <v>3</v>
      </c>
      <c r="C5" s="4">
        <v>3</v>
      </c>
      <c r="D5" s="4">
        <v>2</v>
      </c>
      <c r="E5" s="4">
        <v>2</v>
      </c>
      <c r="F5" s="4">
        <v>2</v>
      </c>
      <c r="G5" s="4">
        <v>2</v>
      </c>
      <c r="H5" s="4">
        <v>2</v>
      </c>
      <c r="I5" s="4">
        <v>1</v>
      </c>
      <c r="J5" s="4">
        <v>3</v>
      </c>
      <c r="K5" s="4">
        <v>2</v>
      </c>
      <c r="L5" s="4">
        <v>3</v>
      </c>
      <c r="M5" s="4">
        <v>1</v>
      </c>
      <c r="N5" s="4">
        <v>2</v>
      </c>
      <c r="O5" s="4">
        <v>2</v>
      </c>
      <c r="P5" s="4">
        <v>3</v>
      </c>
      <c r="Q5" s="4">
        <v>3</v>
      </c>
      <c r="R5" s="4">
        <v>3</v>
      </c>
      <c r="S5" s="4">
        <v>2</v>
      </c>
      <c r="T5" s="4">
        <v>3</v>
      </c>
      <c r="U5" s="4">
        <v>3</v>
      </c>
      <c r="V5" s="4">
        <v>2</v>
      </c>
      <c r="W5" s="4">
        <v>3</v>
      </c>
      <c r="X5" s="4">
        <v>2</v>
      </c>
      <c r="Y5" s="4">
        <v>2</v>
      </c>
      <c r="Z5" s="4">
        <v>2</v>
      </c>
      <c r="AA5" s="4">
        <v>2</v>
      </c>
      <c r="AB5" s="4">
        <v>3</v>
      </c>
      <c r="AC5" s="4">
        <v>2</v>
      </c>
      <c r="AD5" s="4">
        <v>3</v>
      </c>
      <c r="AE5" s="4">
        <v>3</v>
      </c>
      <c r="AF5" s="4">
        <v>3</v>
      </c>
      <c r="AG5" s="4">
        <v>3</v>
      </c>
      <c r="AH5" s="4">
        <v>3</v>
      </c>
      <c r="AI5" s="4">
        <v>3</v>
      </c>
      <c r="AJ5" s="4">
        <v>1</v>
      </c>
    </row>
    <row r="6" spans="1:36" x14ac:dyDescent="0.35">
      <c r="A6" s="6" t="s">
        <v>64</v>
      </c>
      <c r="B6" s="4">
        <v>3</v>
      </c>
      <c r="C6" s="4">
        <v>3</v>
      </c>
      <c r="D6" s="4">
        <v>2</v>
      </c>
      <c r="E6" s="4">
        <v>2</v>
      </c>
      <c r="F6" s="4">
        <v>3</v>
      </c>
      <c r="G6" s="4">
        <v>3</v>
      </c>
      <c r="H6" s="4">
        <v>2</v>
      </c>
      <c r="I6" s="4">
        <v>2</v>
      </c>
      <c r="J6" s="4">
        <v>2</v>
      </c>
      <c r="K6" s="4">
        <v>2</v>
      </c>
      <c r="L6" s="4">
        <v>2</v>
      </c>
      <c r="M6" s="4">
        <v>2</v>
      </c>
      <c r="N6" s="4">
        <v>2</v>
      </c>
      <c r="O6" s="4">
        <v>2</v>
      </c>
      <c r="P6" s="4">
        <v>3</v>
      </c>
      <c r="Q6" s="4">
        <v>3</v>
      </c>
      <c r="R6" s="4">
        <v>4</v>
      </c>
      <c r="S6" s="4">
        <v>2</v>
      </c>
      <c r="T6" s="4">
        <v>4</v>
      </c>
      <c r="U6" s="4">
        <v>4</v>
      </c>
      <c r="V6" s="4">
        <v>4</v>
      </c>
      <c r="W6" s="4">
        <v>1</v>
      </c>
      <c r="X6" s="4">
        <v>2</v>
      </c>
      <c r="Y6" s="4">
        <v>2</v>
      </c>
      <c r="Z6" s="4">
        <v>2</v>
      </c>
      <c r="AA6" s="4">
        <v>2</v>
      </c>
      <c r="AB6" s="4">
        <v>2</v>
      </c>
      <c r="AC6" s="4">
        <v>2</v>
      </c>
      <c r="AD6" s="4">
        <v>2</v>
      </c>
      <c r="AE6" s="4">
        <v>2</v>
      </c>
      <c r="AF6" s="4">
        <v>2</v>
      </c>
      <c r="AG6" s="4">
        <v>2</v>
      </c>
      <c r="AH6" s="4">
        <v>2</v>
      </c>
      <c r="AI6" s="4">
        <v>3</v>
      </c>
      <c r="AJ6" s="4">
        <v>3</v>
      </c>
    </row>
    <row r="7" spans="1:36" x14ac:dyDescent="0.35">
      <c r="A7" s="6" t="s">
        <v>65</v>
      </c>
      <c r="B7" s="4">
        <v>4</v>
      </c>
      <c r="C7" s="4">
        <v>3</v>
      </c>
      <c r="D7" s="4">
        <v>4</v>
      </c>
      <c r="E7" s="4">
        <v>3</v>
      </c>
      <c r="F7" s="4">
        <v>4</v>
      </c>
      <c r="G7" s="4">
        <v>3</v>
      </c>
      <c r="H7" s="4">
        <v>4</v>
      </c>
      <c r="I7" s="4">
        <v>4</v>
      </c>
      <c r="J7" s="4">
        <v>3</v>
      </c>
      <c r="K7" s="4">
        <v>2</v>
      </c>
      <c r="L7" s="4">
        <v>2</v>
      </c>
      <c r="M7" s="4">
        <v>3</v>
      </c>
      <c r="N7" s="4">
        <v>3</v>
      </c>
      <c r="O7" s="4">
        <v>3</v>
      </c>
      <c r="P7" s="4">
        <v>4</v>
      </c>
      <c r="Q7" s="4">
        <v>4</v>
      </c>
      <c r="R7" s="4">
        <v>4</v>
      </c>
      <c r="S7" s="4">
        <v>3</v>
      </c>
      <c r="T7" s="4">
        <v>4</v>
      </c>
      <c r="U7" s="4">
        <v>4</v>
      </c>
      <c r="V7" s="4">
        <v>3</v>
      </c>
      <c r="W7" s="4">
        <v>4</v>
      </c>
      <c r="X7" s="4">
        <v>3</v>
      </c>
      <c r="Y7" s="4">
        <v>3</v>
      </c>
      <c r="Z7" s="4">
        <v>3</v>
      </c>
      <c r="AA7" s="4">
        <v>3</v>
      </c>
      <c r="AB7" s="4">
        <v>3</v>
      </c>
      <c r="AC7" s="4">
        <v>3</v>
      </c>
      <c r="AD7" s="4">
        <v>3</v>
      </c>
      <c r="AE7" s="4">
        <v>3</v>
      </c>
      <c r="AF7" s="4">
        <v>4</v>
      </c>
      <c r="AG7" s="4">
        <v>3</v>
      </c>
      <c r="AH7" s="4">
        <v>3</v>
      </c>
      <c r="AI7" s="4">
        <v>4</v>
      </c>
      <c r="AJ7" s="4">
        <v>4</v>
      </c>
    </row>
    <row r="8" spans="1:36" x14ac:dyDescent="0.35">
      <c r="A8" s="6" t="s">
        <v>62</v>
      </c>
      <c r="B8" s="4">
        <v>4</v>
      </c>
      <c r="C8" s="4">
        <v>4</v>
      </c>
      <c r="D8" s="4">
        <v>4</v>
      </c>
      <c r="E8" s="4">
        <v>4</v>
      </c>
      <c r="F8" s="4">
        <v>3</v>
      </c>
      <c r="G8" s="4">
        <v>3</v>
      </c>
      <c r="H8" s="4">
        <v>3</v>
      </c>
      <c r="I8" s="4">
        <v>3</v>
      </c>
      <c r="J8" s="4">
        <v>3</v>
      </c>
      <c r="K8" s="4">
        <v>3</v>
      </c>
      <c r="L8" s="4">
        <v>3</v>
      </c>
      <c r="M8" s="4">
        <v>3</v>
      </c>
      <c r="N8" s="4">
        <v>3</v>
      </c>
      <c r="O8" s="4">
        <v>3</v>
      </c>
      <c r="P8" s="4">
        <v>3</v>
      </c>
      <c r="Q8" s="4">
        <v>3</v>
      </c>
      <c r="R8" s="4">
        <v>3</v>
      </c>
      <c r="S8" s="4">
        <v>3</v>
      </c>
      <c r="T8" s="4">
        <v>3</v>
      </c>
      <c r="U8" s="4">
        <v>4</v>
      </c>
      <c r="V8" s="4">
        <v>4</v>
      </c>
      <c r="W8" s="4">
        <v>4</v>
      </c>
      <c r="X8" s="4">
        <v>4</v>
      </c>
      <c r="Y8" s="4">
        <v>4</v>
      </c>
      <c r="Z8" s="4">
        <v>4</v>
      </c>
      <c r="AA8" s="4">
        <v>3</v>
      </c>
      <c r="AB8" s="4">
        <v>4</v>
      </c>
      <c r="AC8" s="4">
        <v>3</v>
      </c>
      <c r="AD8" s="4">
        <v>3</v>
      </c>
      <c r="AE8" s="4">
        <v>3</v>
      </c>
      <c r="AF8" s="4">
        <v>4</v>
      </c>
      <c r="AG8" s="4">
        <v>4</v>
      </c>
      <c r="AH8" s="4">
        <v>4</v>
      </c>
      <c r="AI8" s="4">
        <v>4</v>
      </c>
      <c r="AJ8" s="4">
        <v>4</v>
      </c>
    </row>
    <row r="9" spans="1:36" x14ac:dyDescent="0.35">
      <c r="A9" s="6" t="s">
        <v>47</v>
      </c>
      <c r="B9" s="4">
        <v>3</v>
      </c>
      <c r="C9" s="4">
        <v>3</v>
      </c>
      <c r="D9" s="4">
        <v>3</v>
      </c>
      <c r="E9" s="4">
        <v>3</v>
      </c>
      <c r="F9" s="4">
        <v>3</v>
      </c>
      <c r="G9" s="4">
        <v>3</v>
      </c>
      <c r="H9" s="4">
        <v>4</v>
      </c>
      <c r="I9" s="4">
        <v>3</v>
      </c>
      <c r="J9" s="4">
        <v>3</v>
      </c>
      <c r="K9" s="4">
        <v>3</v>
      </c>
      <c r="L9" s="4">
        <v>3</v>
      </c>
      <c r="M9" s="4">
        <v>4</v>
      </c>
      <c r="N9" s="4">
        <v>4</v>
      </c>
      <c r="O9" s="4">
        <v>4</v>
      </c>
      <c r="P9" s="4">
        <v>4</v>
      </c>
      <c r="Q9" s="4">
        <v>4</v>
      </c>
      <c r="R9" s="4">
        <v>4</v>
      </c>
      <c r="S9" s="4">
        <v>4</v>
      </c>
      <c r="T9" s="4">
        <v>4</v>
      </c>
      <c r="U9" s="4">
        <v>4</v>
      </c>
      <c r="V9" s="4">
        <v>4</v>
      </c>
      <c r="W9" s="4">
        <v>4</v>
      </c>
      <c r="X9" s="4">
        <v>4</v>
      </c>
      <c r="Y9" s="4">
        <v>3</v>
      </c>
      <c r="Z9" s="4">
        <v>4</v>
      </c>
      <c r="AA9" s="4">
        <v>3</v>
      </c>
      <c r="AB9" s="4">
        <v>4</v>
      </c>
      <c r="AC9" s="4">
        <v>3</v>
      </c>
      <c r="AD9" s="4">
        <v>4</v>
      </c>
      <c r="AE9" s="4">
        <v>3</v>
      </c>
      <c r="AF9" s="4">
        <v>4</v>
      </c>
      <c r="AG9" s="4">
        <v>3</v>
      </c>
      <c r="AH9" s="4">
        <v>4</v>
      </c>
      <c r="AI9" s="4">
        <v>4</v>
      </c>
      <c r="AJ9" s="4">
        <v>3</v>
      </c>
    </row>
    <row r="10" spans="1:36" x14ac:dyDescent="0.35">
      <c r="A10" s="6" t="s">
        <v>66</v>
      </c>
      <c r="B10" s="4">
        <v>4</v>
      </c>
      <c r="C10" s="4">
        <v>3</v>
      </c>
      <c r="D10" s="4">
        <v>3</v>
      </c>
      <c r="E10" s="4">
        <v>3</v>
      </c>
      <c r="F10" s="4">
        <v>3</v>
      </c>
      <c r="G10" s="4">
        <v>3</v>
      </c>
      <c r="H10" s="4">
        <v>3</v>
      </c>
      <c r="I10" s="4">
        <v>3</v>
      </c>
      <c r="J10" s="4">
        <v>4</v>
      </c>
      <c r="K10" s="4">
        <v>3</v>
      </c>
      <c r="L10" s="4">
        <v>2</v>
      </c>
      <c r="M10" s="4">
        <v>3</v>
      </c>
      <c r="N10" s="4">
        <v>3</v>
      </c>
      <c r="O10" s="4">
        <v>3</v>
      </c>
      <c r="P10" s="4">
        <v>3</v>
      </c>
      <c r="Q10" s="4">
        <v>3</v>
      </c>
      <c r="R10" s="4">
        <v>3</v>
      </c>
      <c r="S10" s="4">
        <v>3</v>
      </c>
      <c r="T10" s="4">
        <v>3</v>
      </c>
      <c r="U10" s="4">
        <v>3</v>
      </c>
      <c r="V10" s="4">
        <v>3</v>
      </c>
      <c r="W10" s="4">
        <v>3</v>
      </c>
      <c r="X10" s="4">
        <v>3</v>
      </c>
      <c r="Y10" s="4">
        <v>3</v>
      </c>
      <c r="Z10" s="4">
        <v>4</v>
      </c>
      <c r="AA10" s="4">
        <v>3</v>
      </c>
      <c r="AB10" s="4">
        <v>3</v>
      </c>
      <c r="AC10" s="4">
        <v>3</v>
      </c>
      <c r="AD10" s="4">
        <v>3</v>
      </c>
      <c r="AE10" s="4">
        <v>3</v>
      </c>
      <c r="AF10" s="4">
        <v>3</v>
      </c>
      <c r="AG10" s="4">
        <v>4</v>
      </c>
      <c r="AH10" s="4">
        <v>3</v>
      </c>
      <c r="AI10" s="4">
        <v>3</v>
      </c>
      <c r="AJ10" s="4">
        <v>3</v>
      </c>
    </row>
    <row r="11" spans="1:36" x14ac:dyDescent="0.35">
      <c r="A11" s="6" t="s">
        <v>48</v>
      </c>
      <c r="B11" s="4">
        <v>4</v>
      </c>
      <c r="C11" s="4">
        <v>4</v>
      </c>
      <c r="D11" s="4">
        <v>4</v>
      </c>
      <c r="E11" s="4">
        <v>4</v>
      </c>
      <c r="F11" s="4">
        <v>4</v>
      </c>
      <c r="G11" s="4">
        <v>4</v>
      </c>
      <c r="H11" s="4">
        <v>4</v>
      </c>
      <c r="I11" s="4">
        <v>4</v>
      </c>
      <c r="J11" s="4">
        <v>4</v>
      </c>
      <c r="K11" s="4">
        <v>4</v>
      </c>
      <c r="L11" s="4">
        <v>4</v>
      </c>
      <c r="M11" s="4">
        <v>4</v>
      </c>
      <c r="N11" s="4">
        <v>4</v>
      </c>
      <c r="O11" s="4">
        <v>4</v>
      </c>
      <c r="P11" s="4">
        <v>4</v>
      </c>
      <c r="Q11" s="4">
        <v>4</v>
      </c>
      <c r="R11" s="4">
        <v>4</v>
      </c>
      <c r="S11" s="4">
        <v>4</v>
      </c>
      <c r="T11" s="4">
        <v>4</v>
      </c>
      <c r="U11" s="4">
        <v>4</v>
      </c>
      <c r="V11" s="4">
        <v>4</v>
      </c>
      <c r="W11" s="4">
        <v>4</v>
      </c>
      <c r="X11" s="4">
        <v>4</v>
      </c>
      <c r="Y11" s="4">
        <v>4</v>
      </c>
      <c r="Z11" s="4">
        <v>4</v>
      </c>
      <c r="AA11" s="4">
        <v>4</v>
      </c>
      <c r="AB11" s="4">
        <v>4</v>
      </c>
      <c r="AC11" s="4">
        <v>4</v>
      </c>
      <c r="AD11" s="4">
        <v>4</v>
      </c>
      <c r="AE11" s="4">
        <v>4</v>
      </c>
      <c r="AF11" s="4">
        <v>4</v>
      </c>
      <c r="AG11" s="4">
        <v>4</v>
      </c>
      <c r="AH11" s="4">
        <v>4</v>
      </c>
      <c r="AI11" s="4">
        <v>4</v>
      </c>
      <c r="AJ11" s="4">
        <v>4</v>
      </c>
    </row>
    <row r="12" spans="1:36" x14ac:dyDescent="0.35">
      <c r="A12" s="6" t="s">
        <v>67</v>
      </c>
      <c r="B12" s="4">
        <v>3</v>
      </c>
      <c r="C12" s="4">
        <v>2</v>
      </c>
      <c r="D12" s="4">
        <v>2</v>
      </c>
      <c r="E12" s="4">
        <v>2</v>
      </c>
      <c r="F12" s="4">
        <v>3</v>
      </c>
      <c r="G12" s="4">
        <v>3</v>
      </c>
      <c r="H12" s="4">
        <v>2</v>
      </c>
      <c r="I12" s="4">
        <v>2</v>
      </c>
      <c r="J12" s="4">
        <v>2</v>
      </c>
      <c r="K12" s="4">
        <v>3</v>
      </c>
      <c r="L12" s="4">
        <v>2</v>
      </c>
      <c r="M12" s="4">
        <v>2</v>
      </c>
      <c r="N12" s="4">
        <v>2</v>
      </c>
      <c r="O12" s="4">
        <v>3</v>
      </c>
      <c r="P12" s="4">
        <v>3</v>
      </c>
      <c r="Q12" s="4">
        <v>3</v>
      </c>
      <c r="R12" s="4">
        <v>3</v>
      </c>
      <c r="S12" s="4">
        <v>3</v>
      </c>
      <c r="T12" s="4">
        <v>4</v>
      </c>
      <c r="U12" s="4">
        <v>3</v>
      </c>
      <c r="V12" s="4">
        <v>3</v>
      </c>
      <c r="W12" s="4">
        <v>2</v>
      </c>
      <c r="X12" s="4">
        <v>2</v>
      </c>
      <c r="Y12" s="4">
        <v>3</v>
      </c>
      <c r="Z12" s="4">
        <v>2</v>
      </c>
      <c r="AA12" s="4">
        <v>3</v>
      </c>
      <c r="AB12" s="4">
        <v>3</v>
      </c>
      <c r="AC12" s="4">
        <v>3</v>
      </c>
      <c r="AD12" s="4">
        <v>3</v>
      </c>
      <c r="AE12" s="4">
        <v>3</v>
      </c>
      <c r="AF12" s="4">
        <v>2</v>
      </c>
      <c r="AG12" s="4">
        <v>3</v>
      </c>
      <c r="AH12" s="4">
        <v>3</v>
      </c>
      <c r="AI12" s="4">
        <v>3</v>
      </c>
      <c r="AJ12" s="4">
        <v>3</v>
      </c>
    </row>
    <row r="13" spans="1:36" x14ac:dyDescent="0.35">
      <c r="A13" s="6" t="s">
        <v>49</v>
      </c>
      <c r="B13" s="4">
        <v>4</v>
      </c>
      <c r="C13" s="4">
        <v>4</v>
      </c>
      <c r="D13" s="4">
        <v>4</v>
      </c>
      <c r="E13" s="4">
        <v>4</v>
      </c>
      <c r="F13" s="4">
        <v>4</v>
      </c>
      <c r="G13" s="4">
        <v>4</v>
      </c>
      <c r="H13" s="4">
        <v>4</v>
      </c>
      <c r="I13" s="4">
        <v>3</v>
      </c>
      <c r="J13" s="4">
        <v>3</v>
      </c>
      <c r="K13" s="4">
        <v>3</v>
      </c>
      <c r="L13" s="4">
        <v>4</v>
      </c>
      <c r="M13" s="4">
        <v>4</v>
      </c>
      <c r="N13" s="4">
        <v>4</v>
      </c>
      <c r="O13" s="4">
        <v>3</v>
      </c>
      <c r="P13" s="4">
        <v>3</v>
      </c>
      <c r="Q13" s="4">
        <v>4</v>
      </c>
      <c r="R13" s="4">
        <v>3</v>
      </c>
      <c r="S13" s="4">
        <v>3</v>
      </c>
      <c r="T13" s="4">
        <v>3</v>
      </c>
      <c r="U13" s="4">
        <v>4</v>
      </c>
      <c r="V13" s="4">
        <v>4</v>
      </c>
      <c r="W13" s="4">
        <v>3</v>
      </c>
      <c r="X13" s="4">
        <v>3</v>
      </c>
      <c r="Y13" s="4">
        <v>3</v>
      </c>
      <c r="Z13" s="4">
        <v>3</v>
      </c>
      <c r="AA13" s="4">
        <v>3</v>
      </c>
      <c r="AB13" s="4">
        <v>4</v>
      </c>
      <c r="AC13" s="4">
        <v>3</v>
      </c>
      <c r="AD13" s="4">
        <v>4</v>
      </c>
      <c r="AE13" s="4">
        <v>4</v>
      </c>
      <c r="AF13" s="4">
        <v>4</v>
      </c>
      <c r="AG13" s="4">
        <v>3</v>
      </c>
      <c r="AH13" s="4">
        <v>3</v>
      </c>
      <c r="AI13" s="4">
        <v>3</v>
      </c>
      <c r="AJ13" s="4">
        <v>3</v>
      </c>
    </row>
    <row r="14" spans="1:36" x14ac:dyDescent="0.35">
      <c r="A14" s="6" t="s">
        <v>69</v>
      </c>
      <c r="B14" s="4">
        <v>4</v>
      </c>
      <c r="C14" s="4">
        <v>4</v>
      </c>
      <c r="D14" s="4">
        <v>4</v>
      </c>
      <c r="E14" s="4">
        <v>4</v>
      </c>
      <c r="F14" s="4">
        <v>4</v>
      </c>
      <c r="G14" s="4">
        <v>4</v>
      </c>
      <c r="H14" s="4">
        <v>4</v>
      </c>
      <c r="I14" s="4">
        <v>4</v>
      </c>
      <c r="J14" s="4">
        <v>4</v>
      </c>
      <c r="K14" s="4">
        <v>4</v>
      </c>
      <c r="L14" s="4">
        <v>4</v>
      </c>
      <c r="M14" s="4">
        <v>4</v>
      </c>
      <c r="N14" s="4">
        <v>4</v>
      </c>
      <c r="O14" s="4">
        <v>4</v>
      </c>
      <c r="P14" s="4">
        <v>4</v>
      </c>
      <c r="Q14" s="4">
        <v>4</v>
      </c>
      <c r="R14" s="4">
        <v>4</v>
      </c>
      <c r="S14" s="4">
        <v>4</v>
      </c>
      <c r="T14" s="4">
        <v>4</v>
      </c>
      <c r="U14" s="4">
        <v>4</v>
      </c>
      <c r="V14" s="4">
        <v>4</v>
      </c>
      <c r="W14" s="4">
        <v>4</v>
      </c>
      <c r="X14" s="4">
        <v>4</v>
      </c>
      <c r="Y14" s="4">
        <v>4</v>
      </c>
      <c r="Z14" s="4">
        <v>4</v>
      </c>
      <c r="AA14" s="4">
        <v>4</v>
      </c>
      <c r="AB14" s="4">
        <v>4</v>
      </c>
      <c r="AC14" s="4">
        <v>4</v>
      </c>
      <c r="AD14" s="4">
        <v>4</v>
      </c>
      <c r="AE14" s="4">
        <v>4</v>
      </c>
      <c r="AF14" s="4">
        <v>4</v>
      </c>
      <c r="AG14" s="4">
        <v>4</v>
      </c>
      <c r="AH14" s="4">
        <v>4</v>
      </c>
      <c r="AI14" s="4">
        <v>4</v>
      </c>
      <c r="AJ14" s="4">
        <v>4</v>
      </c>
    </row>
    <row r="15" spans="1:36" x14ac:dyDescent="0.35">
      <c r="A15" s="6" t="s">
        <v>54</v>
      </c>
      <c r="B15" s="4">
        <v>3</v>
      </c>
      <c r="C15" s="4">
        <v>3</v>
      </c>
      <c r="D15" s="4">
        <v>3</v>
      </c>
      <c r="E15" s="4">
        <v>3</v>
      </c>
      <c r="F15" s="4">
        <v>3</v>
      </c>
      <c r="G15" s="4">
        <v>3</v>
      </c>
      <c r="H15" s="4">
        <v>3</v>
      </c>
      <c r="I15" s="4">
        <v>3</v>
      </c>
      <c r="J15" s="4">
        <v>2</v>
      </c>
      <c r="K15" s="4">
        <v>2</v>
      </c>
      <c r="L15" s="4">
        <v>2</v>
      </c>
      <c r="M15" s="4">
        <v>3</v>
      </c>
      <c r="N15" s="4">
        <v>3</v>
      </c>
      <c r="O15" s="4">
        <v>3</v>
      </c>
      <c r="P15" s="4">
        <v>3</v>
      </c>
      <c r="Q15" s="4">
        <v>3</v>
      </c>
      <c r="R15" s="4">
        <v>3</v>
      </c>
      <c r="S15" s="4">
        <v>3</v>
      </c>
      <c r="T15" s="4">
        <v>3</v>
      </c>
      <c r="U15" s="4">
        <v>3</v>
      </c>
      <c r="V15" s="4">
        <v>3</v>
      </c>
      <c r="W15" s="4">
        <v>3</v>
      </c>
      <c r="X15" s="4">
        <v>3</v>
      </c>
      <c r="Y15" s="4">
        <v>3</v>
      </c>
      <c r="Z15" s="4">
        <v>3</v>
      </c>
      <c r="AA15" s="4">
        <v>3</v>
      </c>
      <c r="AB15" s="4">
        <v>3</v>
      </c>
      <c r="AC15" s="4">
        <v>3</v>
      </c>
      <c r="AD15" s="4">
        <v>3</v>
      </c>
      <c r="AE15" s="4">
        <v>3</v>
      </c>
      <c r="AF15" s="4">
        <v>3</v>
      </c>
      <c r="AG15" s="4">
        <v>3</v>
      </c>
      <c r="AH15" s="4">
        <v>3</v>
      </c>
      <c r="AI15" s="4">
        <v>3</v>
      </c>
      <c r="AJ15" s="4">
        <v>3</v>
      </c>
    </row>
    <row r="16" spans="1:36" x14ac:dyDescent="0.35">
      <c r="A16" s="6" t="s">
        <v>68</v>
      </c>
      <c r="B16" s="4">
        <v>4</v>
      </c>
      <c r="C16" s="4">
        <v>3</v>
      </c>
      <c r="D16" s="4">
        <v>3</v>
      </c>
      <c r="E16" s="4">
        <v>3</v>
      </c>
      <c r="F16" s="4">
        <v>4</v>
      </c>
      <c r="G16" s="4">
        <v>3</v>
      </c>
      <c r="H16" s="4">
        <v>3</v>
      </c>
      <c r="I16" s="4">
        <v>3</v>
      </c>
      <c r="J16" s="4">
        <v>4</v>
      </c>
      <c r="K16" s="4">
        <v>4</v>
      </c>
      <c r="L16" s="4">
        <v>1</v>
      </c>
      <c r="M16" s="4">
        <v>4</v>
      </c>
      <c r="N16" s="4">
        <v>4</v>
      </c>
      <c r="O16" s="4">
        <v>4</v>
      </c>
      <c r="P16" s="4">
        <v>4</v>
      </c>
      <c r="Q16" s="4">
        <v>4</v>
      </c>
      <c r="R16" s="4">
        <v>4</v>
      </c>
      <c r="S16" s="4">
        <v>4</v>
      </c>
      <c r="T16" s="4">
        <v>2</v>
      </c>
      <c r="U16" s="4">
        <v>3</v>
      </c>
      <c r="V16" s="4">
        <v>2</v>
      </c>
      <c r="W16" s="4">
        <v>3</v>
      </c>
      <c r="X16" s="4">
        <v>3</v>
      </c>
      <c r="Y16" s="4">
        <v>4</v>
      </c>
      <c r="Z16" s="4">
        <v>4</v>
      </c>
      <c r="AA16" s="4">
        <v>4</v>
      </c>
      <c r="AB16" s="4">
        <v>4</v>
      </c>
      <c r="AC16" s="4">
        <v>2</v>
      </c>
      <c r="AD16" s="4">
        <v>3</v>
      </c>
      <c r="AE16" s="4">
        <v>4</v>
      </c>
      <c r="AF16" s="4">
        <v>3</v>
      </c>
      <c r="AG16" s="4">
        <v>3</v>
      </c>
      <c r="AH16" s="4">
        <v>3</v>
      </c>
      <c r="AI16" s="4">
        <v>4</v>
      </c>
      <c r="AJ16" s="4">
        <v>3</v>
      </c>
    </row>
    <row r="17" spans="1:36" x14ac:dyDescent="0.35">
      <c r="A17" s="6" t="s">
        <v>70</v>
      </c>
      <c r="B17" s="4">
        <v>4</v>
      </c>
      <c r="C17" s="4">
        <v>3</v>
      </c>
      <c r="D17" s="4">
        <v>2</v>
      </c>
      <c r="E17" s="4">
        <v>3</v>
      </c>
      <c r="F17" s="4">
        <v>2</v>
      </c>
      <c r="G17" s="4">
        <v>2</v>
      </c>
      <c r="H17" s="4">
        <v>2</v>
      </c>
      <c r="I17" s="4">
        <v>2</v>
      </c>
      <c r="J17" s="4">
        <v>4</v>
      </c>
      <c r="K17" s="4">
        <v>2</v>
      </c>
      <c r="L17" s="4">
        <v>3</v>
      </c>
      <c r="M17" s="4">
        <v>2</v>
      </c>
      <c r="N17" s="4">
        <v>1</v>
      </c>
      <c r="O17" s="4">
        <v>2</v>
      </c>
      <c r="P17" s="4">
        <v>4</v>
      </c>
      <c r="Q17" s="4">
        <v>4</v>
      </c>
      <c r="R17" s="4">
        <v>2</v>
      </c>
      <c r="S17" s="4">
        <v>2</v>
      </c>
      <c r="T17" s="4">
        <v>4</v>
      </c>
      <c r="U17" s="4">
        <v>4</v>
      </c>
      <c r="V17" s="4">
        <v>4</v>
      </c>
      <c r="W17" s="4">
        <v>2</v>
      </c>
      <c r="X17" s="4">
        <v>2</v>
      </c>
      <c r="Y17" s="4">
        <v>2</v>
      </c>
      <c r="Z17" s="4">
        <v>2</v>
      </c>
      <c r="AA17" s="4">
        <v>1</v>
      </c>
      <c r="AB17" s="4">
        <v>3</v>
      </c>
      <c r="AC17" s="4">
        <v>2</v>
      </c>
      <c r="AD17" s="4">
        <v>3</v>
      </c>
      <c r="AE17" s="4">
        <v>3</v>
      </c>
      <c r="AF17" s="4">
        <v>1</v>
      </c>
      <c r="AG17" s="4">
        <v>4</v>
      </c>
      <c r="AH17" s="4">
        <v>3</v>
      </c>
      <c r="AI17" s="4">
        <v>4</v>
      </c>
      <c r="AJ17" s="4">
        <v>4</v>
      </c>
    </row>
    <row r="18" spans="1:36" x14ac:dyDescent="0.35">
      <c r="A18" s="6" t="s">
        <v>71</v>
      </c>
      <c r="B18" s="4">
        <v>3</v>
      </c>
      <c r="C18" s="4">
        <v>3</v>
      </c>
      <c r="D18" s="4">
        <v>3</v>
      </c>
      <c r="E18" s="4">
        <v>3</v>
      </c>
      <c r="F18" s="4">
        <v>3</v>
      </c>
      <c r="G18" s="4">
        <v>3</v>
      </c>
      <c r="H18" s="4">
        <v>3</v>
      </c>
      <c r="I18" s="4">
        <v>2</v>
      </c>
      <c r="J18" s="4">
        <v>3</v>
      </c>
      <c r="K18" s="4">
        <v>3</v>
      </c>
      <c r="L18" s="4">
        <v>2</v>
      </c>
      <c r="M18" s="4">
        <v>3</v>
      </c>
      <c r="N18" s="4">
        <v>3</v>
      </c>
      <c r="O18" s="4">
        <v>3</v>
      </c>
      <c r="P18" s="4">
        <v>3</v>
      </c>
      <c r="Q18" s="4">
        <v>3</v>
      </c>
      <c r="R18" s="4">
        <v>3</v>
      </c>
      <c r="S18" s="4">
        <v>2</v>
      </c>
      <c r="T18" s="4">
        <v>3</v>
      </c>
      <c r="U18" s="4">
        <v>4</v>
      </c>
      <c r="V18" s="4">
        <v>4</v>
      </c>
      <c r="W18" s="4">
        <v>2</v>
      </c>
      <c r="X18" s="4">
        <v>3</v>
      </c>
      <c r="Y18" s="4">
        <v>3</v>
      </c>
      <c r="Z18" s="4">
        <v>3</v>
      </c>
      <c r="AA18" s="4">
        <v>3</v>
      </c>
      <c r="AB18" s="4">
        <v>3</v>
      </c>
      <c r="AC18" s="4">
        <v>3</v>
      </c>
      <c r="AD18" s="4">
        <v>3</v>
      </c>
      <c r="AE18" s="4">
        <v>3</v>
      </c>
      <c r="AF18" s="4">
        <v>2</v>
      </c>
      <c r="AG18" s="4">
        <v>3</v>
      </c>
      <c r="AH18" s="4">
        <v>3</v>
      </c>
      <c r="AI18" s="4">
        <v>3</v>
      </c>
      <c r="AJ18" s="4">
        <v>3</v>
      </c>
    </row>
    <row r="19" spans="1:36" x14ac:dyDescent="0.35">
      <c r="A19" s="6" t="s">
        <v>72</v>
      </c>
      <c r="B19" s="4">
        <v>3</v>
      </c>
      <c r="C19" s="4">
        <v>2</v>
      </c>
      <c r="D19" s="4">
        <v>3</v>
      </c>
      <c r="E19" s="4">
        <v>2</v>
      </c>
      <c r="F19" s="4">
        <v>3</v>
      </c>
      <c r="G19" s="4">
        <v>3</v>
      </c>
      <c r="H19" s="4">
        <v>3</v>
      </c>
      <c r="I19" s="4">
        <v>3</v>
      </c>
      <c r="J19" s="4">
        <v>3</v>
      </c>
      <c r="K19" s="4">
        <v>3</v>
      </c>
      <c r="L19" s="4">
        <v>2</v>
      </c>
      <c r="M19" s="4">
        <v>3</v>
      </c>
      <c r="N19" s="4">
        <v>3</v>
      </c>
      <c r="O19" s="4">
        <v>3</v>
      </c>
      <c r="P19" s="4">
        <v>3</v>
      </c>
      <c r="Q19" s="4">
        <v>3</v>
      </c>
      <c r="R19" s="4">
        <v>3</v>
      </c>
      <c r="S19" s="4">
        <v>2</v>
      </c>
      <c r="T19" s="4">
        <v>3</v>
      </c>
      <c r="U19" s="4">
        <v>3</v>
      </c>
      <c r="V19" s="4">
        <v>3</v>
      </c>
      <c r="W19" s="4">
        <v>3</v>
      </c>
      <c r="X19" s="4">
        <v>3</v>
      </c>
      <c r="Y19" s="4">
        <v>3</v>
      </c>
      <c r="Z19" s="4">
        <v>3</v>
      </c>
      <c r="AA19" s="4">
        <v>2</v>
      </c>
      <c r="AB19" s="4">
        <v>3</v>
      </c>
      <c r="AC19" s="4">
        <v>3</v>
      </c>
      <c r="AD19" s="4">
        <v>3</v>
      </c>
      <c r="AE19" s="4">
        <v>3</v>
      </c>
      <c r="AF19" s="4">
        <v>3</v>
      </c>
      <c r="AG19" s="4">
        <v>3</v>
      </c>
      <c r="AH19" s="4">
        <v>3</v>
      </c>
      <c r="AI19" s="4">
        <v>3</v>
      </c>
      <c r="AJ19" s="4">
        <v>3</v>
      </c>
    </row>
    <row r="20" spans="1:36" x14ac:dyDescent="0.35">
      <c r="A20" s="6" t="s">
        <v>73</v>
      </c>
      <c r="B20" s="4">
        <v>4</v>
      </c>
      <c r="C20" s="4">
        <v>4</v>
      </c>
      <c r="D20" s="4">
        <v>4</v>
      </c>
      <c r="E20" s="4">
        <v>4</v>
      </c>
      <c r="F20" s="4">
        <v>4</v>
      </c>
      <c r="G20" s="4">
        <v>4</v>
      </c>
      <c r="H20" s="4">
        <v>4</v>
      </c>
      <c r="I20" s="4">
        <v>4</v>
      </c>
      <c r="J20" s="4">
        <v>4</v>
      </c>
      <c r="K20" s="4">
        <v>4</v>
      </c>
      <c r="L20" s="4">
        <v>4</v>
      </c>
      <c r="M20" s="4">
        <v>4</v>
      </c>
      <c r="N20" s="4">
        <v>4</v>
      </c>
      <c r="O20" s="4">
        <v>4</v>
      </c>
      <c r="P20" s="4">
        <v>4</v>
      </c>
      <c r="Q20" s="4">
        <v>4</v>
      </c>
      <c r="R20" s="4">
        <v>4</v>
      </c>
      <c r="S20" s="4">
        <v>4</v>
      </c>
      <c r="T20" s="4">
        <v>4</v>
      </c>
      <c r="U20" s="4">
        <v>4</v>
      </c>
      <c r="V20" s="4">
        <v>4</v>
      </c>
      <c r="W20" s="4">
        <v>4</v>
      </c>
      <c r="X20" s="4">
        <v>4</v>
      </c>
      <c r="Y20" s="4">
        <v>4</v>
      </c>
      <c r="Z20" s="4">
        <v>4</v>
      </c>
      <c r="AA20" s="4">
        <v>4</v>
      </c>
      <c r="AB20" s="4">
        <v>4</v>
      </c>
      <c r="AC20" s="4">
        <v>4</v>
      </c>
      <c r="AD20" s="4">
        <v>4</v>
      </c>
      <c r="AE20" s="4">
        <v>4</v>
      </c>
      <c r="AF20" s="4">
        <v>4</v>
      </c>
      <c r="AG20" s="4">
        <v>4</v>
      </c>
      <c r="AH20" s="4">
        <v>4</v>
      </c>
      <c r="AI20" s="4">
        <v>4</v>
      </c>
      <c r="AJ20" s="4">
        <v>4</v>
      </c>
    </row>
    <row r="21" spans="1:36" x14ac:dyDescent="0.35">
      <c r="A21" s="6" t="s">
        <v>50</v>
      </c>
      <c r="B21" s="4">
        <v>4</v>
      </c>
      <c r="C21" s="4">
        <v>4</v>
      </c>
      <c r="D21" s="4">
        <v>4</v>
      </c>
      <c r="E21" s="4">
        <v>4</v>
      </c>
      <c r="F21" s="4">
        <v>4</v>
      </c>
      <c r="G21" s="4">
        <v>4</v>
      </c>
      <c r="H21" s="4">
        <v>4</v>
      </c>
      <c r="I21" s="4">
        <v>4</v>
      </c>
      <c r="J21" s="4">
        <v>4</v>
      </c>
      <c r="K21" s="4">
        <v>4</v>
      </c>
      <c r="L21" s="4">
        <v>4</v>
      </c>
      <c r="M21" s="4">
        <v>4</v>
      </c>
      <c r="N21" s="4">
        <v>4</v>
      </c>
      <c r="O21" s="4">
        <v>4</v>
      </c>
      <c r="P21" s="4">
        <v>4</v>
      </c>
      <c r="Q21" s="4">
        <v>4</v>
      </c>
      <c r="R21" s="4">
        <v>4</v>
      </c>
      <c r="S21" s="4">
        <v>4</v>
      </c>
      <c r="T21" s="4">
        <v>4</v>
      </c>
      <c r="U21" s="4">
        <v>4</v>
      </c>
      <c r="V21" s="4">
        <v>4</v>
      </c>
      <c r="W21" s="4">
        <v>4</v>
      </c>
      <c r="X21" s="4">
        <v>4</v>
      </c>
      <c r="Y21" s="4">
        <v>4</v>
      </c>
      <c r="Z21" s="4">
        <v>4</v>
      </c>
      <c r="AA21" s="4">
        <v>4</v>
      </c>
      <c r="AB21" s="4">
        <v>4</v>
      </c>
      <c r="AC21" s="4">
        <v>4</v>
      </c>
      <c r="AD21" s="4">
        <v>4</v>
      </c>
      <c r="AE21" s="4">
        <v>4</v>
      </c>
      <c r="AF21" s="4">
        <v>4</v>
      </c>
      <c r="AG21" s="4">
        <v>4</v>
      </c>
      <c r="AH21" s="4">
        <v>4</v>
      </c>
      <c r="AI21" s="4">
        <v>4</v>
      </c>
      <c r="AJ21" s="4">
        <v>4</v>
      </c>
    </row>
    <row r="22" spans="1:36" x14ac:dyDescent="0.35">
      <c r="A22" s="6" t="s">
        <v>51</v>
      </c>
      <c r="B22" s="4">
        <v>4</v>
      </c>
      <c r="C22" s="4">
        <v>4</v>
      </c>
      <c r="D22" s="4">
        <v>4</v>
      </c>
      <c r="E22" s="4">
        <v>4</v>
      </c>
      <c r="F22" s="4">
        <v>4</v>
      </c>
      <c r="G22" s="4">
        <v>4</v>
      </c>
      <c r="H22" s="4">
        <v>4</v>
      </c>
      <c r="I22" s="4">
        <v>4</v>
      </c>
      <c r="J22" s="4">
        <v>4</v>
      </c>
      <c r="K22" s="4">
        <v>4</v>
      </c>
      <c r="L22" s="4">
        <v>4</v>
      </c>
      <c r="M22" s="4">
        <v>4</v>
      </c>
      <c r="N22" s="4">
        <v>4</v>
      </c>
      <c r="O22" s="4">
        <v>4</v>
      </c>
      <c r="P22" s="4">
        <v>4</v>
      </c>
      <c r="Q22" s="4">
        <v>4</v>
      </c>
      <c r="R22" s="4">
        <v>4</v>
      </c>
      <c r="S22" s="4">
        <v>4</v>
      </c>
      <c r="T22" s="4">
        <v>4</v>
      </c>
      <c r="U22" s="4">
        <v>4</v>
      </c>
      <c r="V22" s="4">
        <v>4</v>
      </c>
      <c r="W22" s="4">
        <v>4</v>
      </c>
      <c r="X22" s="4">
        <v>4</v>
      </c>
      <c r="Y22" s="4">
        <v>4</v>
      </c>
      <c r="Z22" s="4">
        <v>4</v>
      </c>
      <c r="AA22" s="4">
        <v>4</v>
      </c>
      <c r="AB22" s="4">
        <v>4</v>
      </c>
      <c r="AC22" s="4">
        <v>4</v>
      </c>
      <c r="AD22" s="4">
        <v>4</v>
      </c>
      <c r="AE22" s="4">
        <v>4</v>
      </c>
      <c r="AF22" s="4">
        <v>4</v>
      </c>
      <c r="AG22" s="4">
        <v>4</v>
      </c>
      <c r="AH22" s="4">
        <v>1</v>
      </c>
      <c r="AI22" s="4">
        <v>4</v>
      </c>
      <c r="AJ22" s="4">
        <v>4</v>
      </c>
    </row>
    <row r="23" spans="1:36" x14ac:dyDescent="0.35">
      <c r="A23" s="6" t="s">
        <v>74</v>
      </c>
      <c r="B23" s="4">
        <v>3</v>
      </c>
      <c r="C23" s="4">
        <v>3</v>
      </c>
      <c r="D23" s="4">
        <v>2</v>
      </c>
      <c r="E23" s="4">
        <v>3</v>
      </c>
      <c r="F23" s="4">
        <v>4</v>
      </c>
      <c r="G23" s="4">
        <v>3</v>
      </c>
      <c r="H23" s="4">
        <v>3</v>
      </c>
      <c r="I23" s="4">
        <v>3</v>
      </c>
      <c r="J23" s="4">
        <v>3</v>
      </c>
      <c r="K23" s="4">
        <v>3</v>
      </c>
      <c r="L23" s="4">
        <v>3</v>
      </c>
      <c r="M23" s="4">
        <v>3</v>
      </c>
      <c r="N23" s="4">
        <v>3</v>
      </c>
      <c r="O23" s="4">
        <v>3</v>
      </c>
      <c r="P23" s="4">
        <v>3</v>
      </c>
      <c r="Q23" s="4">
        <v>3</v>
      </c>
      <c r="R23" s="4">
        <v>3</v>
      </c>
      <c r="S23" s="4">
        <v>3</v>
      </c>
      <c r="T23" s="4">
        <v>3</v>
      </c>
      <c r="U23" s="4">
        <v>3</v>
      </c>
      <c r="V23" s="4">
        <v>3</v>
      </c>
      <c r="W23" s="4">
        <v>3</v>
      </c>
      <c r="X23" s="4">
        <v>3</v>
      </c>
      <c r="Y23" s="4">
        <v>3</v>
      </c>
      <c r="Z23" s="4">
        <v>3</v>
      </c>
      <c r="AA23" s="4">
        <v>3</v>
      </c>
      <c r="AB23" s="4">
        <v>3</v>
      </c>
      <c r="AC23" s="4">
        <v>3</v>
      </c>
      <c r="AD23" s="4">
        <v>3</v>
      </c>
      <c r="AE23" s="4">
        <v>3</v>
      </c>
      <c r="AF23" s="4">
        <v>3</v>
      </c>
      <c r="AG23" s="4">
        <v>3</v>
      </c>
      <c r="AH23" s="4">
        <v>3</v>
      </c>
      <c r="AI23" s="4">
        <v>3</v>
      </c>
      <c r="AJ23" s="4">
        <v>3</v>
      </c>
    </row>
    <row r="24" spans="1:36" x14ac:dyDescent="0.35">
      <c r="A24" s="6" t="s">
        <v>75</v>
      </c>
      <c r="B24" s="4">
        <v>4</v>
      </c>
      <c r="C24" s="4">
        <v>4</v>
      </c>
      <c r="D24" s="4">
        <v>3</v>
      </c>
      <c r="E24" s="4">
        <v>3</v>
      </c>
      <c r="F24" s="4">
        <v>3</v>
      </c>
      <c r="G24" s="4">
        <v>3</v>
      </c>
      <c r="H24" s="4">
        <v>3</v>
      </c>
      <c r="I24" s="4">
        <v>3</v>
      </c>
      <c r="J24" s="4">
        <v>3</v>
      </c>
      <c r="K24" s="4">
        <v>3</v>
      </c>
      <c r="L24" s="4">
        <v>3</v>
      </c>
      <c r="M24" s="4">
        <v>3</v>
      </c>
      <c r="N24" s="4">
        <v>3</v>
      </c>
      <c r="O24" s="4">
        <v>3</v>
      </c>
      <c r="P24" s="4">
        <v>3</v>
      </c>
      <c r="Q24" s="4">
        <v>3</v>
      </c>
      <c r="R24" s="4">
        <v>3</v>
      </c>
      <c r="S24" s="4">
        <v>3</v>
      </c>
      <c r="T24" s="4">
        <v>3</v>
      </c>
      <c r="U24" s="4">
        <v>3</v>
      </c>
      <c r="V24" s="4">
        <v>3</v>
      </c>
      <c r="W24" s="4">
        <v>3</v>
      </c>
      <c r="X24" s="4">
        <v>3</v>
      </c>
      <c r="Y24" s="4">
        <v>3</v>
      </c>
      <c r="Z24" s="4">
        <v>3</v>
      </c>
      <c r="AA24" s="4">
        <v>3</v>
      </c>
      <c r="AB24" s="4">
        <v>3</v>
      </c>
      <c r="AC24" s="4">
        <v>3</v>
      </c>
      <c r="AD24" s="4">
        <v>3</v>
      </c>
      <c r="AE24" s="4">
        <v>3</v>
      </c>
      <c r="AF24" s="4">
        <v>3</v>
      </c>
      <c r="AG24" s="4">
        <v>3</v>
      </c>
      <c r="AH24" s="4">
        <v>3</v>
      </c>
      <c r="AI24" s="4">
        <v>3</v>
      </c>
      <c r="AJ24" s="4">
        <v>3</v>
      </c>
    </row>
    <row r="25" spans="1:36" x14ac:dyDescent="0.35">
      <c r="A25" s="6" t="s">
        <v>52</v>
      </c>
      <c r="B25" s="4">
        <v>4</v>
      </c>
      <c r="C25" s="4">
        <v>3</v>
      </c>
      <c r="D25" s="4">
        <v>3</v>
      </c>
      <c r="E25" s="4">
        <v>3</v>
      </c>
      <c r="F25" s="4">
        <v>4</v>
      </c>
      <c r="G25" s="4">
        <v>3</v>
      </c>
      <c r="H25" s="4">
        <v>4</v>
      </c>
      <c r="I25" s="4">
        <v>3</v>
      </c>
      <c r="J25" s="4">
        <v>3</v>
      </c>
      <c r="K25" s="4">
        <v>3</v>
      </c>
      <c r="L25" s="4">
        <v>2</v>
      </c>
      <c r="M25" s="4">
        <v>3</v>
      </c>
      <c r="N25" s="4">
        <v>3</v>
      </c>
      <c r="O25" s="4">
        <v>3</v>
      </c>
      <c r="P25" s="4">
        <v>4</v>
      </c>
      <c r="Q25" s="4">
        <v>3</v>
      </c>
      <c r="R25" s="4">
        <v>3</v>
      </c>
      <c r="S25" s="4">
        <v>3</v>
      </c>
      <c r="T25" s="4">
        <v>3</v>
      </c>
      <c r="U25" s="4">
        <v>4</v>
      </c>
      <c r="V25" s="4">
        <v>4</v>
      </c>
      <c r="W25" s="4">
        <v>3</v>
      </c>
      <c r="X25" s="4">
        <v>4</v>
      </c>
      <c r="Y25" s="4">
        <v>2</v>
      </c>
      <c r="Z25" s="4">
        <v>3</v>
      </c>
      <c r="AA25" s="4">
        <v>3</v>
      </c>
      <c r="AB25" s="4">
        <v>4</v>
      </c>
      <c r="AC25" s="4">
        <v>3</v>
      </c>
      <c r="AD25" s="4">
        <v>3</v>
      </c>
      <c r="AE25" s="4">
        <v>3</v>
      </c>
      <c r="AF25" s="4">
        <v>3</v>
      </c>
      <c r="AG25" s="4">
        <v>3</v>
      </c>
      <c r="AH25" s="4">
        <v>3</v>
      </c>
      <c r="AI25" s="4">
        <v>4</v>
      </c>
      <c r="AJ25" s="4">
        <v>4</v>
      </c>
    </row>
    <row r="26" spans="1:36" x14ac:dyDescent="0.35">
      <c r="A26" s="6" t="s">
        <v>76</v>
      </c>
      <c r="B26" s="4">
        <v>4</v>
      </c>
      <c r="C26" s="4">
        <v>2</v>
      </c>
      <c r="D26" s="4">
        <v>2</v>
      </c>
      <c r="E26" s="4">
        <v>2</v>
      </c>
      <c r="F26" s="4">
        <v>1</v>
      </c>
      <c r="G26" s="4">
        <v>2</v>
      </c>
      <c r="H26" s="4">
        <v>2</v>
      </c>
      <c r="I26" s="4">
        <v>2</v>
      </c>
      <c r="J26" s="4">
        <v>3</v>
      </c>
      <c r="K26" s="4">
        <v>3</v>
      </c>
      <c r="L26" s="4">
        <v>2</v>
      </c>
      <c r="M26" s="4">
        <v>2</v>
      </c>
      <c r="N26" s="4">
        <v>3</v>
      </c>
      <c r="O26" s="4">
        <v>3</v>
      </c>
      <c r="P26" s="4">
        <v>3</v>
      </c>
      <c r="Q26" s="4">
        <v>3</v>
      </c>
      <c r="R26" s="4">
        <v>3</v>
      </c>
      <c r="S26" s="4">
        <v>2</v>
      </c>
      <c r="T26" s="4">
        <v>3</v>
      </c>
      <c r="U26" s="4">
        <v>4</v>
      </c>
      <c r="V26" s="4">
        <v>3</v>
      </c>
      <c r="W26" s="4">
        <v>3</v>
      </c>
      <c r="X26" s="4">
        <v>3</v>
      </c>
      <c r="Y26" s="4">
        <v>3</v>
      </c>
      <c r="Z26" s="4">
        <v>3</v>
      </c>
      <c r="AA26" s="4">
        <v>3</v>
      </c>
      <c r="AB26" s="4">
        <v>3</v>
      </c>
      <c r="AC26" s="4">
        <v>3</v>
      </c>
      <c r="AD26" s="4">
        <v>3</v>
      </c>
      <c r="AE26" s="4">
        <v>3</v>
      </c>
      <c r="AF26" s="4">
        <v>3</v>
      </c>
      <c r="AG26" s="4">
        <v>3</v>
      </c>
      <c r="AH26" s="4">
        <v>3</v>
      </c>
      <c r="AI26" s="4">
        <v>3</v>
      </c>
      <c r="AJ26" s="4">
        <v>3</v>
      </c>
    </row>
    <row r="27" spans="1:36" x14ac:dyDescent="0.35">
      <c r="A27" s="6" t="s">
        <v>53</v>
      </c>
      <c r="B27" s="4">
        <v>3</v>
      </c>
      <c r="C27" s="4">
        <v>3</v>
      </c>
      <c r="D27" s="4">
        <v>4</v>
      </c>
      <c r="E27" s="4">
        <v>3</v>
      </c>
      <c r="F27" s="4">
        <v>3</v>
      </c>
      <c r="G27" s="4">
        <v>2</v>
      </c>
      <c r="H27" s="4">
        <v>3</v>
      </c>
      <c r="I27" s="4">
        <v>2</v>
      </c>
      <c r="J27" s="4">
        <v>2</v>
      </c>
      <c r="K27" s="4">
        <v>3</v>
      </c>
      <c r="L27" s="4">
        <v>2</v>
      </c>
      <c r="M27" s="4">
        <v>2</v>
      </c>
      <c r="N27" s="4">
        <v>3</v>
      </c>
      <c r="O27" s="4">
        <v>3</v>
      </c>
      <c r="P27" s="4">
        <v>3</v>
      </c>
      <c r="Q27" s="4">
        <v>3</v>
      </c>
      <c r="R27" s="4">
        <v>4</v>
      </c>
      <c r="S27" s="4">
        <v>3</v>
      </c>
      <c r="T27" s="4">
        <v>3</v>
      </c>
      <c r="U27" s="4">
        <v>4</v>
      </c>
      <c r="V27" s="4">
        <v>4</v>
      </c>
      <c r="W27" s="4">
        <v>2</v>
      </c>
      <c r="X27" s="4">
        <v>3</v>
      </c>
      <c r="Y27" s="4">
        <v>3</v>
      </c>
      <c r="Z27" s="4">
        <v>3</v>
      </c>
      <c r="AA27" s="4">
        <v>3</v>
      </c>
      <c r="AB27" s="4">
        <v>3</v>
      </c>
      <c r="AC27" s="4">
        <v>3</v>
      </c>
      <c r="AD27" s="4">
        <v>3</v>
      </c>
      <c r="AE27" s="4">
        <v>3</v>
      </c>
      <c r="AF27" s="4">
        <v>3</v>
      </c>
      <c r="AG27" s="4">
        <v>2</v>
      </c>
      <c r="AH27" s="4">
        <v>3</v>
      </c>
      <c r="AI27" s="4">
        <v>4</v>
      </c>
      <c r="AJ27" s="4">
        <v>3</v>
      </c>
    </row>
    <row r="28" spans="1:36" x14ac:dyDescent="0.35">
      <c r="A28" s="6" t="s">
        <v>77</v>
      </c>
      <c r="B28" s="4">
        <v>3</v>
      </c>
      <c r="C28" s="4">
        <v>3</v>
      </c>
      <c r="D28" s="4">
        <v>3</v>
      </c>
      <c r="E28" s="4">
        <v>3</v>
      </c>
      <c r="F28" s="4">
        <v>3</v>
      </c>
      <c r="G28" s="4">
        <v>3</v>
      </c>
      <c r="H28" s="4">
        <v>3</v>
      </c>
      <c r="I28" s="4">
        <v>3</v>
      </c>
      <c r="J28" s="4">
        <v>3</v>
      </c>
      <c r="K28" s="4">
        <v>3</v>
      </c>
      <c r="L28" s="4">
        <v>3</v>
      </c>
      <c r="M28" s="4">
        <v>3</v>
      </c>
      <c r="N28" s="4">
        <v>3</v>
      </c>
      <c r="O28" s="4">
        <v>3</v>
      </c>
      <c r="P28" s="4">
        <v>3</v>
      </c>
      <c r="Q28" s="4">
        <v>3</v>
      </c>
      <c r="R28" s="4">
        <v>3</v>
      </c>
      <c r="S28" s="4">
        <v>3</v>
      </c>
      <c r="T28" s="4">
        <v>3</v>
      </c>
      <c r="U28" s="4">
        <v>3</v>
      </c>
      <c r="V28" s="4">
        <v>3</v>
      </c>
      <c r="W28" s="4">
        <v>3</v>
      </c>
      <c r="X28" s="4">
        <v>3</v>
      </c>
      <c r="Y28" s="4">
        <v>3</v>
      </c>
      <c r="Z28" s="4">
        <v>3</v>
      </c>
      <c r="AA28" s="4">
        <v>3</v>
      </c>
      <c r="AB28" s="4">
        <v>3</v>
      </c>
      <c r="AC28" s="4">
        <v>3</v>
      </c>
      <c r="AD28" s="4">
        <v>3</v>
      </c>
      <c r="AE28" s="4">
        <v>3</v>
      </c>
      <c r="AF28" s="4">
        <v>3</v>
      </c>
      <c r="AG28" s="4">
        <v>3</v>
      </c>
      <c r="AH28" s="4">
        <v>3</v>
      </c>
      <c r="AI28" s="4">
        <v>3</v>
      </c>
      <c r="AJ28" s="4">
        <v>3</v>
      </c>
    </row>
    <row r="29" spans="1:36" x14ac:dyDescent="0.35">
      <c r="A29" s="6" t="s">
        <v>78</v>
      </c>
      <c r="B29" s="4">
        <v>3</v>
      </c>
      <c r="C29" s="4">
        <v>3</v>
      </c>
      <c r="D29" s="4">
        <v>3</v>
      </c>
      <c r="E29" s="4">
        <v>3</v>
      </c>
      <c r="F29" s="4">
        <v>3</v>
      </c>
      <c r="G29" s="4">
        <v>3</v>
      </c>
      <c r="H29" s="4">
        <v>3</v>
      </c>
      <c r="I29" s="4">
        <v>3</v>
      </c>
      <c r="J29" s="4">
        <v>3</v>
      </c>
      <c r="K29" s="4">
        <v>3</v>
      </c>
      <c r="L29" s="4">
        <v>3</v>
      </c>
      <c r="M29" s="4">
        <v>3</v>
      </c>
      <c r="N29" s="4">
        <v>3</v>
      </c>
      <c r="O29" s="4">
        <v>3</v>
      </c>
      <c r="P29" s="4">
        <v>3</v>
      </c>
      <c r="Q29" s="4">
        <v>3</v>
      </c>
      <c r="R29" s="4">
        <v>3</v>
      </c>
      <c r="S29" s="4">
        <v>3</v>
      </c>
      <c r="T29" s="4">
        <v>3</v>
      </c>
      <c r="U29" s="4">
        <v>3</v>
      </c>
      <c r="V29" s="4">
        <v>3</v>
      </c>
      <c r="W29" s="4">
        <v>3</v>
      </c>
      <c r="X29" s="4">
        <v>3</v>
      </c>
      <c r="Y29" s="4">
        <v>3</v>
      </c>
      <c r="Z29" s="4">
        <v>3</v>
      </c>
      <c r="AA29" s="4">
        <v>3</v>
      </c>
      <c r="AB29" s="4">
        <v>3</v>
      </c>
      <c r="AC29" s="4">
        <v>3</v>
      </c>
      <c r="AD29" s="4">
        <v>3</v>
      </c>
      <c r="AE29" s="4">
        <v>3</v>
      </c>
      <c r="AF29" s="4">
        <v>3</v>
      </c>
      <c r="AG29" s="4">
        <v>4</v>
      </c>
      <c r="AH29" s="4">
        <v>3</v>
      </c>
      <c r="AI29" s="4">
        <v>4</v>
      </c>
      <c r="AJ29" s="4">
        <v>3</v>
      </c>
    </row>
    <row r="30" spans="1:36" x14ac:dyDescent="0.35">
      <c r="A30" s="6" t="s">
        <v>79</v>
      </c>
      <c r="B30" s="4">
        <v>3</v>
      </c>
      <c r="C30" s="4">
        <v>3</v>
      </c>
      <c r="D30" s="4">
        <v>2</v>
      </c>
      <c r="E30" s="4">
        <v>3</v>
      </c>
      <c r="F30" s="4">
        <v>4</v>
      </c>
      <c r="G30" s="4">
        <v>3</v>
      </c>
      <c r="H30" s="4">
        <v>2</v>
      </c>
      <c r="I30" s="4">
        <v>1</v>
      </c>
      <c r="J30" s="4">
        <v>3</v>
      </c>
      <c r="K30" s="4">
        <v>3</v>
      </c>
      <c r="L30" s="4">
        <v>1</v>
      </c>
      <c r="M30" s="4">
        <v>3</v>
      </c>
      <c r="N30" s="4">
        <v>3</v>
      </c>
      <c r="O30" s="4">
        <v>4</v>
      </c>
      <c r="P30" s="4">
        <v>4</v>
      </c>
      <c r="Q30" s="4">
        <v>4</v>
      </c>
      <c r="R30" s="4">
        <v>3</v>
      </c>
      <c r="S30" s="4">
        <v>3</v>
      </c>
      <c r="T30" s="4">
        <v>3</v>
      </c>
      <c r="U30" s="4">
        <v>4</v>
      </c>
      <c r="V30" s="4">
        <v>3</v>
      </c>
      <c r="W30" s="4">
        <v>3</v>
      </c>
      <c r="X30" s="4">
        <v>3</v>
      </c>
      <c r="Y30" s="4">
        <v>3</v>
      </c>
      <c r="Z30" s="4">
        <v>3</v>
      </c>
      <c r="AA30" s="4">
        <v>3</v>
      </c>
      <c r="AB30" s="4">
        <v>3</v>
      </c>
      <c r="AC30" s="4">
        <v>3</v>
      </c>
      <c r="AD30" s="4">
        <v>3</v>
      </c>
      <c r="AE30" s="4">
        <v>3</v>
      </c>
      <c r="AF30" s="4">
        <v>4</v>
      </c>
      <c r="AG30" s="4">
        <v>4</v>
      </c>
      <c r="AH30" s="4">
        <v>3</v>
      </c>
      <c r="AI30" s="4">
        <v>3</v>
      </c>
      <c r="AJ30" s="4">
        <v>3</v>
      </c>
    </row>
    <row r="31" spans="1:36" x14ac:dyDescent="0.35">
      <c r="A31" s="6" t="s">
        <v>80</v>
      </c>
      <c r="B31" s="4">
        <v>3</v>
      </c>
      <c r="C31" s="4">
        <v>3</v>
      </c>
      <c r="D31" s="4">
        <v>2</v>
      </c>
      <c r="E31" s="4">
        <v>3</v>
      </c>
      <c r="F31" s="4">
        <v>3</v>
      </c>
      <c r="G31" s="4">
        <v>3</v>
      </c>
      <c r="H31" s="4">
        <v>3</v>
      </c>
      <c r="I31" s="4">
        <v>3</v>
      </c>
      <c r="J31" s="4">
        <v>3</v>
      </c>
      <c r="K31" s="4">
        <v>3</v>
      </c>
      <c r="L31" s="4">
        <v>3</v>
      </c>
      <c r="M31" s="4">
        <v>3</v>
      </c>
      <c r="N31" s="4">
        <v>3</v>
      </c>
      <c r="O31" s="4">
        <v>3</v>
      </c>
      <c r="P31" s="4">
        <v>3</v>
      </c>
      <c r="Q31" s="4">
        <v>3</v>
      </c>
      <c r="R31" s="4">
        <v>3</v>
      </c>
      <c r="S31" s="4">
        <v>3</v>
      </c>
      <c r="T31" s="4">
        <v>3</v>
      </c>
      <c r="U31" s="4">
        <v>3</v>
      </c>
      <c r="V31" s="4">
        <v>3</v>
      </c>
      <c r="W31" s="4">
        <v>3</v>
      </c>
      <c r="X31" s="4">
        <v>3</v>
      </c>
      <c r="Y31" s="4">
        <v>3</v>
      </c>
      <c r="Z31" s="4">
        <v>3</v>
      </c>
      <c r="AA31" s="4">
        <v>3</v>
      </c>
      <c r="AB31" s="4">
        <v>4</v>
      </c>
      <c r="AC31" s="4">
        <v>3</v>
      </c>
      <c r="AD31" s="4">
        <v>3</v>
      </c>
      <c r="AE31" s="4">
        <v>3</v>
      </c>
      <c r="AF31" s="4">
        <v>4</v>
      </c>
      <c r="AG31" s="4">
        <v>3</v>
      </c>
      <c r="AH31" s="4">
        <v>3</v>
      </c>
      <c r="AI31" s="4">
        <v>3</v>
      </c>
      <c r="AJ31" s="4">
        <v>3</v>
      </c>
    </row>
    <row r="32" spans="1:36" x14ac:dyDescent="0.35">
      <c r="A32" s="6" t="s">
        <v>81</v>
      </c>
      <c r="B32" s="4">
        <v>3</v>
      </c>
      <c r="C32" s="4">
        <v>3</v>
      </c>
      <c r="D32" s="4">
        <v>3</v>
      </c>
      <c r="E32" s="4">
        <v>3</v>
      </c>
      <c r="F32" s="4">
        <v>3</v>
      </c>
      <c r="G32" s="4">
        <v>3</v>
      </c>
      <c r="H32" s="4">
        <v>3</v>
      </c>
      <c r="I32" s="4">
        <v>3</v>
      </c>
      <c r="J32" s="4">
        <v>3</v>
      </c>
      <c r="K32" s="4">
        <v>3</v>
      </c>
      <c r="L32" s="4">
        <v>3</v>
      </c>
      <c r="M32" s="4">
        <v>3</v>
      </c>
      <c r="N32" s="4">
        <v>3</v>
      </c>
      <c r="O32" s="4">
        <v>3</v>
      </c>
      <c r="P32" s="4">
        <v>3</v>
      </c>
      <c r="Q32" s="4">
        <v>3</v>
      </c>
      <c r="R32" s="4">
        <v>3</v>
      </c>
      <c r="S32" s="4">
        <v>3</v>
      </c>
      <c r="T32" s="4">
        <v>3</v>
      </c>
      <c r="U32" s="4">
        <v>3</v>
      </c>
      <c r="V32" s="4">
        <v>3</v>
      </c>
      <c r="W32" s="4">
        <v>3</v>
      </c>
      <c r="X32" s="4">
        <v>3</v>
      </c>
      <c r="Y32" s="4">
        <v>3</v>
      </c>
      <c r="Z32" s="4">
        <v>3</v>
      </c>
      <c r="AA32" s="4">
        <v>3</v>
      </c>
      <c r="AB32" s="4">
        <v>3</v>
      </c>
      <c r="AC32" s="4">
        <v>3</v>
      </c>
      <c r="AD32" s="4">
        <v>3</v>
      </c>
      <c r="AE32" s="4">
        <v>3</v>
      </c>
      <c r="AF32" s="4">
        <v>3</v>
      </c>
      <c r="AG32" s="4">
        <v>3</v>
      </c>
      <c r="AH32" s="4">
        <v>3</v>
      </c>
      <c r="AI32" s="4">
        <v>3</v>
      </c>
      <c r="AJ32" s="4">
        <v>3</v>
      </c>
    </row>
    <row r="33" spans="1:36" x14ac:dyDescent="0.35">
      <c r="A33" s="6" t="s">
        <v>54</v>
      </c>
      <c r="B33" s="4">
        <v>4</v>
      </c>
      <c r="C33" s="4">
        <v>3</v>
      </c>
      <c r="D33" s="4">
        <v>2</v>
      </c>
      <c r="E33" s="4">
        <v>3</v>
      </c>
      <c r="F33" s="4">
        <v>3</v>
      </c>
      <c r="G33" s="4">
        <v>2</v>
      </c>
      <c r="H33" s="4">
        <v>2</v>
      </c>
      <c r="I33" s="4">
        <v>3</v>
      </c>
      <c r="J33" s="4">
        <v>3</v>
      </c>
      <c r="K33" s="4">
        <v>3</v>
      </c>
      <c r="L33" s="4">
        <v>2</v>
      </c>
      <c r="M33" s="4">
        <v>2</v>
      </c>
      <c r="N33" s="4">
        <v>3</v>
      </c>
      <c r="O33" s="4">
        <v>3</v>
      </c>
      <c r="P33" s="4">
        <v>3</v>
      </c>
      <c r="Q33" s="4">
        <v>4</v>
      </c>
      <c r="R33" s="4">
        <v>3</v>
      </c>
      <c r="S33" s="4">
        <v>3</v>
      </c>
      <c r="T33" s="4">
        <v>4</v>
      </c>
      <c r="U33" s="4">
        <v>4</v>
      </c>
      <c r="V33" s="4">
        <v>4</v>
      </c>
      <c r="W33" s="4">
        <v>3</v>
      </c>
      <c r="X33" s="4">
        <v>3</v>
      </c>
      <c r="Y33" s="4">
        <v>2</v>
      </c>
      <c r="Z33" s="4">
        <v>3</v>
      </c>
      <c r="AA33" s="4">
        <v>3</v>
      </c>
      <c r="AB33" s="4">
        <v>3</v>
      </c>
      <c r="AC33" s="4">
        <v>3</v>
      </c>
      <c r="AD33" s="4">
        <v>3</v>
      </c>
      <c r="AE33" s="4">
        <v>3</v>
      </c>
      <c r="AF33" s="4">
        <v>2</v>
      </c>
      <c r="AG33" s="4">
        <v>3</v>
      </c>
      <c r="AH33" s="4">
        <v>4</v>
      </c>
      <c r="AI33" s="4">
        <v>4</v>
      </c>
      <c r="AJ33" s="4">
        <v>3</v>
      </c>
    </row>
    <row r="34" spans="1:36" x14ac:dyDescent="0.35">
      <c r="A34" s="6" t="s">
        <v>55</v>
      </c>
      <c r="B34" s="4">
        <v>3</v>
      </c>
      <c r="C34" s="4">
        <v>3</v>
      </c>
      <c r="D34" s="4">
        <v>3</v>
      </c>
      <c r="E34" s="4">
        <v>3</v>
      </c>
      <c r="F34" s="4">
        <v>3</v>
      </c>
      <c r="G34" s="4">
        <v>3</v>
      </c>
      <c r="H34" s="4">
        <v>3</v>
      </c>
      <c r="I34" s="4">
        <v>3</v>
      </c>
      <c r="J34" s="4">
        <v>3</v>
      </c>
      <c r="K34" s="4">
        <v>3</v>
      </c>
      <c r="L34" s="4">
        <v>3</v>
      </c>
      <c r="M34" s="4">
        <v>3</v>
      </c>
      <c r="N34" s="4">
        <v>3</v>
      </c>
      <c r="O34" s="4">
        <v>3</v>
      </c>
      <c r="P34" s="4">
        <v>3</v>
      </c>
      <c r="Q34" s="4">
        <v>3</v>
      </c>
      <c r="R34" s="4">
        <v>3</v>
      </c>
      <c r="S34" s="4">
        <v>3</v>
      </c>
      <c r="T34" s="4">
        <v>3</v>
      </c>
      <c r="U34" s="4">
        <v>3</v>
      </c>
      <c r="V34" s="4">
        <v>3</v>
      </c>
      <c r="W34" s="4">
        <v>3</v>
      </c>
      <c r="X34" s="4">
        <v>3</v>
      </c>
      <c r="Y34" s="4">
        <v>3</v>
      </c>
      <c r="Z34" s="4">
        <v>3</v>
      </c>
      <c r="AA34" s="4">
        <v>3</v>
      </c>
      <c r="AB34" s="4">
        <v>3</v>
      </c>
      <c r="AC34" s="4">
        <v>3</v>
      </c>
      <c r="AD34" s="4">
        <v>3</v>
      </c>
      <c r="AE34" s="4">
        <v>3</v>
      </c>
      <c r="AF34" s="4">
        <v>3</v>
      </c>
      <c r="AG34" s="4">
        <v>3</v>
      </c>
      <c r="AH34" s="4">
        <v>3</v>
      </c>
      <c r="AI34" s="4">
        <v>3</v>
      </c>
      <c r="AJ34" s="4">
        <v>3</v>
      </c>
    </row>
    <row r="35" spans="1:36" x14ac:dyDescent="0.35">
      <c r="A35" s="6" t="s">
        <v>82</v>
      </c>
      <c r="B35" s="4">
        <v>4</v>
      </c>
      <c r="C35" s="4">
        <v>4</v>
      </c>
      <c r="D35" s="4">
        <v>3</v>
      </c>
      <c r="E35" s="4">
        <v>3</v>
      </c>
      <c r="F35" s="4">
        <v>4</v>
      </c>
      <c r="G35" s="4">
        <v>4</v>
      </c>
      <c r="H35" s="4">
        <v>4</v>
      </c>
      <c r="I35" s="4">
        <v>4</v>
      </c>
      <c r="J35" s="4">
        <v>4</v>
      </c>
      <c r="K35" s="4">
        <v>4</v>
      </c>
      <c r="L35" s="4">
        <v>4</v>
      </c>
      <c r="M35" s="4">
        <v>4</v>
      </c>
      <c r="N35" s="4">
        <v>4</v>
      </c>
      <c r="O35" s="4">
        <v>4</v>
      </c>
      <c r="P35" s="4">
        <v>4</v>
      </c>
      <c r="Q35" s="4">
        <v>4</v>
      </c>
      <c r="R35" s="4">
        <v>4</v>
      </c>
      <c r="S35" s="4">
        <v>4</v>
      </c>
      <c r="T35" s="4">
        <v>4</v>
      </c>
      <c r="U35" s="4">
        <v>4</v>
      </c>
      <c r="V35" s="4">
        <v>4</v>
      </c>
      <c r="W35" s="4">
        <v>4</v>
      </c>
      <c r="X35" s="4">
        <v>4</v>
      </c>
      <c r="Y35" s="4">
        <v>4</v>
      </c>
      <c r="Z35" s="4">
        <v>4</v>
      </c>
      <c r="AA35" s="4">
        <v>4</v>
      </c>
      <c r="AB35" s="4">
        <v>4</v>
      </c>
      <c r="AC35" s="4">
        <v>4</v>
      </c>
      <c r="AD35" s="4">
        <v>4</v>
      </c>
      <c r="AE35" s="4">
        <v>4</v>
      </c>
      <c r="AF35" s="4">
        <v>4</v>
      </c>
      <c r="AG35" s="4">
        <v>4</v>
      </c>
      <c r="AH35" s="4">
        <v>4</v>
      </c>
      <c r="AI35" s="4">
        <v>4</v>
      </c>
      <c r="AJ35" s="4">
        <v>4</v>
      </c>
    </row>
    <row r="36" spans="1:36" x14ac:dyDescent="0.35">
      <c r="A36" s="6" t="s">
        <v>72</v>
      </c>
      <c r="B36" s="4">
        <v>4</v>
      </c>
      <c r="C36" s="4">
        <v>4</v>
      </c>
      <c r="D36" s="4">
        <v>3</v>
      </c>
      <c r="E36" s="4">
        <v>3</v>
      </c>
      <c r="F36" s="4">
        <v>3</v>
      </c>
      <c r="G36" s="4">
        <v>3</v>
      </c>
      <c r="H36" s="4">
        <v>4</v>
      </c>
      <c r="I36" s="4">
        <v>3</v>
      </c>
      <c r="J36" s="4">
        <v>3</v>
      </c>
      <c r="K36" s="4">
        <v>3</v>
      </c>
      <c r="L36" s="4">
        <v>2</v>
      </c>
      <c r="M36" s="4">
        <v>3</v>
      </c>
      <c r="N36" s="4">
        <v>3</v>
      </c>
      <c r="O36" s="4">
        <v>3</v>
      </c>
      <c r="P36" s="4">
        <v>3</v>
      </c>
      <c r="Q36" s="4">
        <v>3</v>
      </c>
      <c r="R36" s="4">
        <v>3</v>
      </c>
      <c r="S36" s="4">
        <v>3</v>
      </c>
      <c r="T36" s="4">
        <v>3</v>
      </c>
      <c r="U36" s="4">
        <v>3</v>
      </c>
      <c r="V36" s="4">
        <v>3</v>
      </c>
      <c r="W36" s="4">
        <v>3</v>
      </c>
      <c r="X36" s="4">
        <v>3</v>
      </c>
      <c r="Y36" s="4">
        <v>3</v>
      </c>
      <c r="Z36" s="4">
        <v>3</v>
      </c>
      <c r="AA36" s="4">
        <v>3</v>
      </c>
      <c r="AB36" s="4">
        <v>3</v>
      </c>
      <c r="AC36" s="4">
        <v>3</v>
      </c>
      <c r="AD36" s="4">
        <v>3</v>
      </c>
      <c r="AE36" s="4">
        <v>3</v>
      </c>
      <c r="AF36" s="4">
        <v>3</v>
      </c>
      <c r="AG36" s="4">
        <v>3</v>
      </c>
      <c r="AH36" s="4">
        <v>3</v>
      </c>
      <c r="AI36" s="4">
        <v>3</v>
      </c>
      <c r="AJ36" s="4">
        <v>3</v>
      </c>
    </row>
    <row r="37" spans="1:36" x14ac:dyDescent="0.35">
      <c r="A37" s="6" t="s">
        <v>56</v>
      </c>
      <c r="B37" s="4">
        <v>3</v>
      </c>
      <c r="C37" s="4">
        <v>4</v>
      </c>
      <c r="D37" s="4">
        <v>2</v>
      </c>
      <c r="E37" s="4">
        <v>3</v>
      </c>
      <c r="F37" s="4">
        <v>3</v>
      </c>
      <c r="G37" s="4">
        <v>3</v>
      </c>
      <c r="H37" s="4">
        <v>3</v>
      </c>
      <c r="I37" s="4">
        <v>2</v>
      </c>
      <c r="J37" s="4">
        <v>3</v>
      </c>
      <c r="K37" s="4">
        <v>3</v>
      </c>
      <c r="L37" s="4">
        <v>3</v>
      </c>
      <c r="M37" s="4">
        <v>3</v>
      </c>
      <c r="N37" s="4">
        <v>3</v>
      </c>
      <c r="O37" s="4">
        <v>3</v>
      </c>
      <c r="P37" s="4">
        <v>3</v>
      </c>
      <c r="Q37" s="4">
        <v>3</v>
      </c>
      <c r="R37" s="4">
        <v>3</v>
      </c>
      <c r="S37" s="4">
        <v>3</v>
      </c>
      <c r="T37" s="4">
        <v>3</v>
      </c>
      <c r="U37" s="4">
        <v>3</v>
      </c>
      <c r="V37" s="4">
        <v>3</v>
      </c>
      <c r="W37" s="4">
        <v>3</v>
      </c>
      <c r="X37" s="4">
        <v>3</v>
      </c>
      <c r="Y37" s="4">
        <v>3</v>
      </c>
      <c r="Z37" s="4">
        <v>3</v>
      </c>
      <c r="AA37" s="4">
        <v>3</v>
      </c>
      <c r="AB37" s="4">
        <v>3</v>
      </c>
      <c r="AC37" s="4">
        <v>3</v>
      </c>
      <c r="AD37" s="4">
        <v>3</v>
      </c>
      <c r="AE37" s="4">
        <v>3</v>
      </c>
      <c r="AF37" s="4">
        <v>3</v>
      </c>
      <c r="AG37" s="4">
        <v>3</v>
      </c>
      <c r="AH37" s="4">
        <v>3</v>
      </c>
      <c r="AI37" s="4">
        <v>3</v>
      </c>
      <c r="AJ37" s="4">
        <v>3</v>
      </c>
    </row>
    <row r="38" spans="1:36" x14ac:dyDescent="0.35">
      <c r="A38" s="6" t="s">
        <v>83</v>
      </c>
      <c r="B38" s="4">
        <v>4</v>
      </c>
      <c r="C38" s="4">
        <v>4</v>
      </c>
      <c r="D38" s="4">
        <v>3</v>
      </c>
      <c r="E38" s="4">
        <v>3</v>
      </c>
      <c r="F38" s="4">
        <v>3</v>
      </c>
      <c r="G38" s="4">
        <v>3</v>
      </c>
      <c r="H38" s="4">
        <v>3</v>
      </c>
      <c r="I38" s="4">
        <v>3</v>
      </c>
      <c r="J38" s="4">
        <v>3</v>
      </c>
      <c r="K38" s="4">
        <v>3</v>
      </c>
      <c r="L38" s="4">
        <v>3</v>
      </c>
      <c r="M38" s="4">
        <v>3</v>
      </c>
      <c r="N38" s="4">
        <v>3</v>
      </c>
      <c r="O38" s="4">
        <v>3</v>
      </c>
      <c r="P38" s="4">
        <v>3</v>
      </c>
      <c r="Q38" s="4">
        <v>3</v>
      </c>
      <c r="R38" s="4">
        <v>4</v>
      </c>
      <c r="S38" s="4">
        <v>3</v>
      </c>
      <c r="T38" s="4">
        <v>3</v>
      </c>
      <c r="U38" s="4">
        <v>3</v>
      </c>
      <c r="V38" s="4">
        <v>3</v>
      </c>
      <c r="W38" s="4">
        <v>3</v>
      </c>
      <c r="X38" s="4">
        <v>3</v>
      </c>
      <c r="Y38" s="4">
        <v>3</v>
      </c>
      <c r="Z38" s="4">
        <v>3</v>
      </c>
      <c r="AA38" s="4">
        <v>3</v>
      </c>
      <c r="AB38" s="4">
        <v>3</v>
      </c>
      <c r="AC38" s="4">
        <v>3</v>
      </c>
      <c r="AD38" s="4">
        <v>3</v>
      </c>
      <c r="AE38" s="4">
        <v>3</v>
      </c>
      <c r="AF38" s="4">
        <v>3</v>
      </c>
      <c r="AG38" s="4">
        <v>3</v>
      </c>
      <c r="AH38" s="4">
        <v>4</v>
      </c>
      <c r="AI38" s="4">
        <v>3</v>
      </c>
      <c r="AJ38" s="4">
        <v>3</v>
      </c>
    </row>
    <row r="39" spans="1:36" x14ac:dyDescent="0.35">
      <c r="A39" s="6" t="s">
        <v>84</v>
      </c>
      <c r="B39" s="4">
        <v>4</v>
      </c>
      <c r="C39" s="4">
        <v>3</v>
      </c>
      <c r="D39" s="4">
        <v>3</v>
      </c>
      <c r="E39" s="4">
        <v>4</v>
      </c>
      <c r="F39" s="4">
        <v>4</v>
      </c>
      <c r="G39" s="4">
        <v>3</v>
      </c>
      <c r="H39" s="4">
        <v>3</v>
      </c>
      <c r="I39" s="4">
        <v>4</v>
      </c>
      <c r="J39" s="4">
        <v>4</v>
      </c>
      <c r="K39" s="4">
        <v>3</v>
      </c>
      <c r="L39" s="4">
        <v>3</v>
      </c>
      <c r="M39" s="4">
        <v>3</v>
      </c>
      <c r="N39" s="4">
        <v>4</v>
      </c>
      <c r="O39" s="4">
        <v>2</v>
      </c>
      <c r="P39" s="4">
        <v>3</v>
      </c>
      <c r="Q39" s="4">
        <v>4</v>
      </c>
      <c r="R39" s="4">
        <v>4</v>
      </c>
      <c r="S39" s="4">
        <v>3</v>
      </c>
      <c r="T39" s="4">
        <v>4</v>
      </c>
      <c r="U39" s="4">
        <v>4</v>
      </c>
      <c r="V39" s="4">
        <v>4</v>
      </c>
      <c r="W39" s="4">
        <v>3</v>
      </c>
      <c r="X39" s="4">
        <v>3</v>
      </c>
      <c r="Y39" s="4">
        <v>4</v>
      </c>
      <c r="Z39" s="4">
        <v>3</v>
      </c>
      <c r="AA39" s="4">
        <v>3</v>
      </c>
      <c r="AB39" s="4">
        <v>4</v>
      </c>
      <c r="AC39" s="4">
        <v>4</v>
      </c>
      <c r="AD39" s="4">
        <v>3</v>
      </c>
      <c r="AE39" s="4">
        <v>3</v>
      </c>
      <c r="AF39" s="4">
        <v>3</v>
      </c>
      <c r="AG39" s="4">
        <v>4</v>
      </c>
      <c r="AH39" s="4">
        <v>4</v>
      </c>
      <c r="AI39" s="4">
        <v>4</v>
      </c>
      <c r="AJ39" s="4">
        <v>4</v>
      </c>
    </row>
    <row r="40" spans="1:36" x14ac:dyDescent="0.35">
      <c r="A40" s="6" t="s">
        <v>57</v>
      </c>
      <c r="B40" s="4">
        <v>4</v>
      </c>
      <c r="C40" s="4">
        <v>3</v>
      </c>
      <c r="D40" s="4">
        <v>3</v>
      </c>
      <c r="E40" s="4">
        <v>3</v>
      </c>
      <c r="F40" s="4">
        <v>4</v>
      </c>
      <c r="G40" s="4">
        <v>3</v>
      </c>
      <c r="H40" s="4">
        <v>3</v>
      </c>
      <c r="I40" s="4">
        <v>2</v>
      </c>
      <c r="J40" s="4">
        <v>3</v>
      </c>
      <c r="K40" s="4">
        <v>4</v>
      </c>
      <c r="L40" s="4">
        <v>2</v>
      </c>
      <c r="M40" s="4">
        <v>3</v>
      </c>
      <c r="N40" s="4">
        <v>3</v>
      </c>
      <c r="O40" s="4">
        <v>3</v>
      </c>
      <c r="P40" s="4">
        <v>3</v>
      </c>
      <c r="Q40" s="4">
        <v>3</v>
      </c>
      <c r="R40" s="4">
        <v>4</v>
      </c>
      <c r="S40" s="4">
        <v>3</v>
      </c>
      <c r="T40" s="4">
        <v>3</v>
      </c>
      <c r="U40" s="4">
        <v>4</v>
      </c>
      <c r="V40" s="4">
        <v>3</v>
      </c>
      <c r="W40" s="4">
        <v>3</v>
      </c>
      <c r="X40" s="4">
        <v>3</v>
      </c>
      <c r="Y40" s="4">
        <v>3</v>
      </c>
      <c r="Z40" s="4">
        <v>3</v>
      </c>
      <c r="AA40" s="4">
        <v>3</v>
      </c>
      <c r="AB40" s="4">
        <v>3</v>
      </c>
      <c r="AC40" s="4">
        <v>3</v>
      </c>
      <c r="AD40" s="4">
        <v>3</v>
      </c>
      <c r="AE40" s="4">
        <v>3</v>
      </c>
      <c r="AF40" s="4">
        <v>3</v>
      </c>
      <c r="AG40" s="4">
        <v>3</v>
      </c>
      <c r="AH40" s="4">
        <v>3</v>
      </c>
      <c r="AI40" s="4">
        <v>3</v>
      </c>
      <c r="AJ40" s="4">
        <v>3</v>
      </c>
    </row>
    <row r="41" spans="1:36" x14ac:dyDescent="0.35">
      <c r="A41" s="6" t="s">
        <v>85</v>
      </c>
      <c r="B41" s="4">
        <v>3</v>
      </c>
      <c r="C41" s="4">
        <v>2</v>
      </c>
      <c r="D41" s="4">
        <v>2</v>
      </c>
      <c r="E41" s="4">
        <v>3</v>
      </c>
      <c r="F41" s="4">
        <v>3</v>
      </c>
      <c r="G41" s="4">
        <v>2</v>
      </c>
      <c r="H41" s="4">
        <v>3</v>
      </c>
      <c r="I41" s="4">
        <v>3</v>
      </c>
      <c r="J41" s="4">
        <v>3</v>
      </c>
      <c r="K41" s="4">
        <v>3</v>
      </c>
      <c r="L41" s="4">
        <v>3</v>
      </c>
      <c r="M41" s="4">
        <v>3</v>
      </c>
      <c r="N41" s="4">
        <v>3</v>
      </c>
      <c r="O41" s="4">
        <v>4</v>
      </c>
      <c r="P41" s="4">
        <v>3</v>
      </c>
      <c r="Q41" s="4">
        <v>3</v>
      </c>
      <c r="R41" s="4">
        <v>3</v>
      </c>
      <c r="S41" s="4">
        <v>4</v>
      </c>
      <c r="T41" s="4">
        <v>4</v>
      </c>
      <c r="U41" s="4">
        <v>3</v>
      </c>
      <c r="V41" s="4">
        <v>3</v>
      </c>
      <c r="W41" s="4">
        <v>3</v>
      </c>
      <c r="X41" s="4">
        <v>3</v>
      </c>
      <c r="Y41" s="4">
        <v>4</v>
      </c>
      <c r="Z41" s="4">
        <v>3</v>
      </c>
      <c r="AA41" s="4">
        <v>3</v>
      </c>
      <c r="AB41" s="4">
        <v>3</v>
      </c>
      <c r="AC41" s="4">
        <v>3</v>
      </c>
      <c r="AD41" s="4">
        <v>3</v>
      </c>
      <c r="AE41" s="4">
        <v>3</v>
      </c>
      <c r="AF41" s="4">
        <v>3</v>
      </c>
      <c r="AG41" s="4">
        <v>3</v>
      </c>
      <c r="AH41" s="4">
        <v>3</v>
      </c>
      <c r="AI41" s="4">
        <v>3</v>
      </c>
      <c r="AJ41" s="4">
        <v>3</v>
      </c>
    </row>
    <row r="42" spans="1:36" x14ac:dyDescent="0.35">
      <c r="A42" s="6" t="s">
        <v>58</v>
      </c>
      <c r="B42" s="4">
        <v>3</v>
      </c>
      <c r="C42" s="4">
        <v>3</v>
      </c>
      <c r="D42" s="4">
        <v>3</v>
      </c>
      <c r="E42" s="4">
        <v>3</v>
      </c>
      <c r="F42" s="4">
        <v>3</v>
      </c>
      <c r="G42" s="4">
        <v>3</v>
      </c>
      <c r="H42" s="4">
        <v>3</v>
      </c>
      <c r="I42" s="4">
        <v>3</v>
      </c>
      <c r="J42" s="4">
        <v>3</v>
      </c>
      <c r="K42" s="4">
        <v>3</v>
      </c>
      <c r="L42" s="4">
        <v>3</v>
      </c>
      <c r="M42" s="4">
        <v>3</v>
      </c>
      <c r="N42" s="4">
        <v>3</v>
      </c>
      <c r="O42" s="4">
        <v>3</v>
      </c>
      <c r="P42" s="4">
        <v>3</v>
      </c>
      <c r="Q42" s="4">
        <v>3</v>
      </c>
      <c r="R42" s="4">
        <v>3</v>
      </c>
      <c r="S42" s="4">
        <v>3</v>
      </c>
      <c r="T42" s="4">
        <v>3</v>
      </c>
      <c r="U42" s="4">
        <v>3</v>
      </c>
      <c r="V42" s="4">
        <v>3</v>
      </c>
      <c r="W42" s="4">
        <v>3</v>
      </c>
      <c r="X42" s="4">
        <v>3</v>
      </c>
      <c r="Y42" s="4">
        <v>3</v>
      </c>
      <c r="Z42" s="4">
        <v>3</v>
      </c>
      <c r="AA42" s="4">
        <v>3</v>
      </c>
      <c r="AB42" s="4">
        <v>3</v>
      </c>
      <c r="AC42" s="4">
        <v>3</v>
      </c>
      <c r="AD42" s="4">
        <v>3</v>
      </c>
      <c r="AE42" s="4">
        <v>3</v>
      </c>
      <c r="AF42" s="4">
        <v>3</v>
      </c>
      <c r="AG42" s="4">
        <v>3</v>
      </c>
      <c r="AH42" s="4">
        <v>3</v>
      </c>
      <c r="AI42" s="4">
        <v>3</v>
      </c>
      <c r="AJ42" s="4">
        <v>3</v>
      </c>
    </row>
    <row r="43" spans="1:36" x14ac:dyDescent="0.35">
      <c r="A43" s="6" t="s">
        <v>59</v>
      </c>
      <c r="B43" s="4">
        <v>3</v>
      </c>
      <c r="C43" s="4">
        <v>3</v>
      </c>
      <c r="D43" s="4">
        <v>3</v>
      </c>
      <c r="E43" s="4">
        <v>3</v>
      </c>
      <c r="F43" s="4">
        <v>3</v>
      </c>
      <c r="G43" s="4">
        <v>3</v>
      </c>
      <c r="H43" s="4">
        <v>3</v>
      </c>
      <c r="I43" s="4">
        <v>3</v>
      </c>
      <c r="J43" s="4">
        <v>3</v>
      </c>
      <c r="K43" s="4">
        <v>3</v>
      </c>
      <c r="L43" s="4">
        <v>3</v>
      </c>
      <c r="M43" s="4">
        <v>3</v>
      </c>
      <c r="N43" s="4">
        <v>3</v>
      </c>
      <c r="O43" s="4">
        <v>3</v>
      </c>
      <c r="P43" s="4">
        <v>3</v>
      </c>
      <c r="Q43" s="4">
        <v>3</v>
      </c>
      <c r="R43" s="4">
        <v>3</v>
      </c>
      <c r="S43" s="4">
        <v>3</v>
      </c>
      <c r="T43" s="4">
        <v>3</v>
      </c>
      <c r="U43" s="4">
        <v>4</v>
      </c>
      <c r="V43" s="4">
        <v>3</v>
      </c>
      <c r="W43" s="4">
        <v>3</v>
      </c>
      <c r="X43" s="4">
        <v>3</v>
      </c>
      <c r="Y43" s="4">
        <v>3</v>
      </c>
      <c r="Z43" s="4">
        <v>3</v>
      </c>
      <c r="AA43" s="4">
        <v>3</v>
      </c>
      <c r="AB43" s="4">
        <v>3</v>
      </c>
      <c r="AC43" s="4">
        <v>3</v>
      </c>
      <c r="AD43" s="4">
        <v>3</v>
      </c>
      <c r="AE43" s="4">
        <v>3</v>
      </c>
      <c r="AF43" s="4">
        <v>3</v>
      </c>
      <c r="AG43" s="4">
        <v>1</v>
      </c>
      <c r="AH43" s="4">
        <v>3</v>
      </c>
      <c r="AI43" s="4">
        <v>3</v>
      </c>
      <c r="AJ43" s="4">
        <v>3</v>
      </c>
    </row>
    <row r="44" spans="1:36" x14ac:dyDescent="0.35">
      <c r="A44" s="6" t="s">
        <v>58</v>
      </c>
      <c r="B44" s="4">
        <v>3</v>
      </c>
      <c r="C44" s="4">
        <v>3</v>
      </c>
      <c r="D44" s="4">
        <v>3</v>
      </c>
      <c r="E44" s="4">
        <v>3</v>
      </c>
      <c r="F44" s="4">
        <v>3</v>
      </c>
      <c r="G44" s="4">
        <v>3</v>
      </c>
      <c r="H44" s="4">
        <v>3</v>
      </c>
      <c r="I44" s="4">
        <v>3</v>
      </c>
      <c r="J44" s="4">
        <v>3</v>
      </c>
      <c r="K44" s="4">
        <v>3</v>
      </c>
      <c r="L44" s="4">
        <v>3</v>
      </c>
      <c r="M44" s="4">
        <v>3</v>
      </c>
      <c r="N44" s="4">
        <v>3</v>
      </c>
      <c r="O44" s="4">
        <v>3</v>
      </c>
      <c r="P44" s="4">
        <v>3</v>
      </c>
      <c r="Q44" s="4">
        <v>3</v>
      </c>
      <c r="R44" s="4">
        <v>3</v>
      </c>
      <c r="S44" s="4">
        <v>3</v>
      </c>
      <c r="T44" s="4">
        <v>3</v>
      </c>
      <c r="U44" s="4">
        <v>3</v>
      </c>
      <c r="V44" s="4">
        <v>3</v>
      </c>
      <c r="W44" s="4">
        <v>3</v>
      </c>
      <c r="X44" s="4">
        <v>3</v>
      </c>
      <c r="Y44" s="4">
        <v>3</v>
      </c>
      <c r="Z44" s="4">
        <v>3</v>
      </c>
      <c r="AA44" s="4">
        <v>3</v>
      </c>
      <c r="AB44" s="4">
        <v>3</v>
      </c>
      <c r="AC44" s="4">
        <v>3</v>
      </c>
      <c r="AD44" s="4">
        <v>3</v>
      </c>
      <c r="AE44" s="4">
        <v>3</v>
      </c>
      <c r="AF44" s="4">
        <v>3</v>
      </c>
      <c r="AG44" s="4">
        <v>3</v>
      </c>
      <c r="AH44" s="4">
        <v>3</v>
      </c>
      <c r="AI44" s="4">
        <v>3</v>
      </c>
      <c r="AJ44" s="4">
        <v>3</v>
      </c>
    </row>
    <row r="45" spans="1:36" x14ac:dyDescent="0.35">
      <c r="A45" s="6" t="s">
        <v>60</v>
      </c>
      <c r="B45" s="4">
        <v>3</v>
      </c>
      <c r="C45" s="4">
        <v>3</v>
      </c>
      <c r="D45" s="4">
        <v>3</v>
      </c>
      <c r="E45" s="4">
        <v>3</v>
      </c>
      <c r="F45" s="4">
        <v>3</v>
      </c>
      <c r="G45" s="4">
        <v>3</v>
      </c>
      <c r="H45" s="4">
        <v>3</v>
      </c>
      <c r="I45" s="4">
        <v>3</v>
      </c>
      <c r="J45" s="4">
        <v>3</v>
      </c>
      <c r="K45" s="4">
        <v>3</v>
      </c>
      <c r="L45" s="4">
        <v>3</v>
      </c>
      <c r="M45" s="4">
        <v>3</v>
      </c>
      <c r="N45" s="4">
        <v>3</v>
      </c>
      <c r="O45" s="4">
        <v>3</v>
      </c>
      <c r="P45" s="4">
        <v>3</v>
      </c>
      <c r="Q45" s="4">
        <v>3</v>
      </c>
      <c r="R45" s="4">
        <v>3</v>
      </c>
      <c r="S45" s="4">
        <v>3</v>
      </c>
      <c r="T45" s="4">
        <v>3</v>
      </c>
      <c r="U45" s="4">
        <v>3</v>
      </c>
      <c r="V45" s="4">
        <v>3</v>
      </c>
      <c r="W45" s="4">
        <v>3</v>
      </c>
      <c r="X45" s="4">
        <v>3</v>
      </c>
      <c r="Y45" s="4">
        <v>3</v>
      </c>
      <c r="Z45" s="4">
        <v>3</v>
      </c>
      <c r="AA45" s="4">
        <v>3</v>
      </c>
      <c r="AB45" s="4">
        <v>3</v>
      </c>
      <c r="AC45" s="4">
        <v>3</v>
      </c>
      <c r="AD45" s="4">
        <v>3</v>
      </c>
      <c r="AE45" s="4">
        <v>3</v>
      </c>
      <c r="AF45" s="4">
        <v>3</v>
      </c>
      <c r="AG45" s="4">
        <v>3</v>
      </c>
      <c r="AH45" s="4">
        <v>3</v>
      </c>
      <c r="AI45" s="4">
        <v>3</v>
      </c>
      <c r="AJ45" s="4">
        <v>3</v>
      </c>
    </row>
    <row r="46" spans="1:36" x14ac:dyDescent="0.35">
      <c r="A46" s="6" t="s">
        <v>61</v>
      </c>
      <c r="B46" s="4">
        <v>3</v>
      </c>
      <c r="C46" s="4">
        <v>3</v>
      </c>
      <c r="D46" s="4">
        <v>3</v>
      </c>
      <c r="E46" s="4">
        <v>3</v>
      </c>
      <c r="F46" s="4">
        <v>2</v>
      </c>
      <c r="G46" s="4">
        <v>3</v>
      </c>
      <c r="H46" s="4">
        <v>2</v>
      </c>
      <c r="I46" s="4">
        <v>2</v>
      </c>
      <c r="J46" s="4">
        <v>3</v>
      </c>
      <c r="K46" s="4">
        <v>3</v>
      </c>
      <c r="L46" s="4">
        <v>3</v>
      </c>
      <c r="M46" s="4">
        <v>3</v>
      </c>
      <c r="N46" s="4">
        <v>3</v>
      </c>
      <c r="O46" s="4">
        <v>3</v>
      </c>
      <c r="P46" s="4">
        <v>3</v>
      </c>
      <c r="Q46" s="4">
        <v>4</v>
      </c>
      <c r="R46" s="4">
        <v>2</v>
      </c>
      <c r="S46" s="4">
        <v>3</v>
      </c>
      <c r="T46" s="4">
        <v>3</v>
      </c>
      <c r="U46" s="4">
        <v>3</v>
      </c>
      <c r="V46" s="4">
        <v>3</v>
      </c>
      <c r="W46" s="4">
        <v>3</v>
      </c>
      <c r="X46" s="4">
        <v>3</v>
      </c>
      <c r="Y46" s="4">
        <v>3</v>
      </c>
      <c r="Z46" s="4">
        <v>3</v>
      </c>
      <c r="AA46" s="4">
        <v>2</v>
      </c>
      <c r="AB46" s="4">
        <v>3</v>
      </c>
      <c r="AC46" s="4">
        <v>3</v>
      </c>
      <c r="AD46" s="4">
        <v>3</v>
      </c>
      <c r="AE46" s="4">
        <v>3</v>
      </c>
      <c r="AF46" s="4">
        <v>2</v>
      </c>
      <c r="AG46" s="4">
        <v>3</v>
      </c>
      <c r="AH46" s="4">
        <v>3</v>
      </c>
      <c r="AI46" s="4">
        <v>4</v>
      </c>
      <c r="AJ46" s="4">
        <v>3</v>
      </c>
    </row>
    <row r="47" spans="1:36" x14ac:dyDescent="0.35">
      <c r="A47" s="6" t="s">
        <v>86</v>
      </c>
      <c r="B47" s="4">
        <v>4</v>
      </c>
      <c r="C47" s="4">
        <v>3</v>
      </c>
      <c r="D47" s="4">
        <v>3</v>
      </c>
      <c r="E47" s="4">
        <v>3</v>
      </c>
      <c r="F47" s="4">
        <v>4</v>
      </c>
      <c r="G47" s="4">
        <v>4</v>
      </c>
      <c r="H47" s="4">
        <v>4</v>
      </c>
      <c r="I47" s="4">
        <v>3</v>
      </c>
      <c r="J47" s="4">
        <v>2</v>
      </c>
      <c r="K47" s="4">
        <v>2</v>
      </c>
      <c r="L47" s="4">
        <v>1</v>
      </c>
      <c r="M47" s="4">
        <v>2</v>
      </c>
      <c r="N47" s="4">
        <v>3</v>
      </c>
      <c r="O47" s="4">
        <v>3</v>
      </c>
      <c r="P47" s="4">
        <v>3</v>
      </c>
      <c r="Q47" s="4">
        <v>4</v>
      </c>
      <c r="R47" s="4">
        <v>4</v>
      </c>
      <c r="S47" s="4">
        <v>4</v>
      </c>
      <c r="T47" s="4">
        <v>3</v>
      </c>
      <c r="U47" s="4">
        <v>4</v>
      </c>
      <c r="V47" s="4">
        <v>3</v>
      </c>
      <c r="W47" s="4">
        <v>3</v>
      </c>
      <c r="X47" s="4">
        <v>3</v>
      </c>
      <c r="Y47" s="4">
        <v>3</v>
      </c>
      <c r="Z47" s="4">
        <v>2</v>
      </c>
      <c r="AA47" s="4">
        <v>3</v>
      </c>
      <c r="AB47" s="4">
        <v>4</v>
      </c>
      <c r="AC47" s="4">
        <v>3</v>
      </c>
      <c r="AD47" s="4">
        <v>3</v>
      </c>
      <c r="AE47" s="4">
        <v>3</v>
      </c>
      <c r="AF47" s="4">
        <v>3</v>
      </c>
      <c r="AG47" s="4">
        <v>3</v>
      </c>
      <c r="AH47" s="4">
        <v>3</v>
      </c>
      <c r="AI47" s="4">
        <v>4</v>
      </c>
      <c r="AJ47" s="4">
        <v>4</v>
      </c>
    </row>
    <row r="48" spans="1:36" x14ac:dyDescent="0.35">
      <c r="A48" s="6" t="s">
        <v>87</v>
      </c>
      <c r="B48" s="4">
        <v>4</v>
      </c>
      <c r="C48" s="4">
        <v>4</v>
      </c>
      <c r="D48" s="4">
        <v>3</v>
      </c>
      <c r="E48" s="4">
        <v>4</v>
      </c>
      <c r="F48" s="4">
        <v>4</v>
      </c>
      <c r="G48" s="4">
        <v>4</v>
      </c>
      <c r="H48" s="4">
        <v>3</v>
      </c>
      <c r="I48" s="4">
        <v>3</v>
      </c>
      <c r="J48" s="4">
        <v>4</v>
      </c>
      <c r="K48" s="4">
        <v>4</v>
      </c>
      <c r="L48" s="4">
        <v>2</v>
      </c>
      <c r="M48" s="4">
        <v>3</v>
      </c>
      <c r="N48" s="4">
        <v>2</v>
      </c>
      <c r="O48" s="4">
        <v>2</v>
      </c>
      <c r="P48" s="4">
        <v>3</v>
      </c>
      <c r="Q48" s="4">
        <v>3</v>
      </c>
      <c r="R48" s="4">
        <v>3</v>
      </c>
      <c r="S48" s="4">
        <v>3</v>
      </c>
      <c r="T48" s="4">
        <v>3</v>
      </c>
      <c r="U48" s="4">
        <v>4</v>
      </c>
      <c r="V48" s="4">
        <v>3</v>
      </c>
      <c r="W48" s="4">
        <v>3</v>
      </c>
      <c r="X48" s="4">
        <v>3</v>
      </c>
      <c r="Y48" s="4">
        <v>3</v>
      </c>
      <c r="Z48" s="4">
        <v>3</v>
      </c>
      <c r="AA48" s="4">
        <v>3</v>
      </c>
      <c r="AB48" s="4">
        <v>3</v>
      </c>
      <c r="AC48" s="4">
        <v>3</v>
      </c>
      <c r="AD48" s="4">
        <v>3</v>
      </c>
      <c r="AE48" s="4">
        <v>3</v>
      </c>
      <c r="AF48" s="4">
        <v>3</v>
      </c>
      <c r="AG48" s="4">
        <v>3</v>
      </c>
      <c r="AH48" s="4">
        <v>3</v>
      </c>
      <c r="AI48" s="4">
        <v>3</v>
      </c>
      <c r="AJ48" s="4">
        <v>3</v>
      </c>
    </row>
    <row r="49" spans="1:36" x14ac:dyDescent="0.35">
      <c r="A49" s="6" t="s">
        <v>59</v>
      </c>
      <c r="B49" s="4">
        <v>3</v>
      </c>
      <c r="C49" s="4">
        <v>3</v>
      </c>
      <c r="D49" s="4">
        <v>2</v>
      </c>
      <c r="E49" s="4">
        <v>2</v>
      </c>
      <c r="F49" s="4">
        <v>2</v>
      </c>
      <c r="G49" s="4">
        <v>2</v>
      </c>
      <c r="H49" s="4">
        <v>2</v>
      </c>
      <c r="I49" s="4">
        <v>2</v>
      </c>
      <c r="J49" s="4">
        <v>2</v>
      </c>
      <c r="K49" s="4">
        <v>2</v>
      </c>
      <c r="L49" s="4">
        <v>1</v>
      </c>
      <c r="M49" s="4">
        <v>1</v>
      </c>
      <c r="N49" s="4">
        <v>1</v>
      </c>
      <c r="O49" s="4">
        <v>2</v>
      </c>
      <c r="P49" s="4">
        <v>3</v>
      </c>
      <c r="Q49" s="4">
        <v>3</v>
      </c>
      <c r="R49" s="4">
        <v>3</v>
      </c>
      <c r="S49" s="4">
        <v>2</v>
      </c>
      <c r="T49" s="4">
        <v>3</v>
      </c>
      <c r="U49" s="4">
        <v>3</v>
      </c>
      <c r="V49" s="4">
        <v>2</v>
      </c>
      <c r="W49" s="4">
        <v>3</v>
      </c>
      <c r="X49" s="4">
        <v>3</v>
      </c>
      <c r="Y49" s="4">
        <v>3</v>
      </c>
      <c r="Z49" s="4">
        <v>2</v>
      </c>
      <c r="AA49" s="4">
        <v>2</v>
      </c>
      <c r="AB49" s="4">
        <v>2</v>
      </c>
      <c r="AC49" s="4">
        <v>3</v>
      </c>
      <c r="AD49" s="4">
        <v>2</v>
      </c>
      <c r="AE49" s="4">
        <v>2</v>
      </c>
      <c r="AF49" s="4">
        <v>2</v>
      </c>
      <c r="AG49" s="4">
        <v>2</v>
      </c>
      <c r="AH49" s="4">
        <v>2</v>
      </c>
      <c r="AI49" s="4">
        <v>3</v>
      </c>
      <c r="AJ49" s="4">
        <v>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zoomScale="70" zoomScaleNormal="70" workbookViewId="0">
      <selection activeCell="B1" sqref="B1:F49"/>
    </sheetView>
  </sheetViews>
  <sheetFormatPr defaultRowHeight="14.5" x14ac:dyDescent="0.35"/>
  <cols>
    <col min="1" max="1" width="55.81640625" bestFit="1" customWidth="1"/>
    <col min="2" max="2" width="23.36328125" bestFit="1" customWidth="1"/>
    <col min="3" max="3" width="23.81640625" bestFit="1" customWidth="1"/>
    <col min="4" max="4" width="20.6328125" bestFit="1" customWidth="1"/>
    <col min="5" max="5" width="29.7265625" bestFit="1" customWidth="1"/>
    <col min="6" max="6" width="23.1796875" bestFit="1" customWidth="1"/>
  </cols>
  <sheetData>
    <row r="1" spans="1:6" ht="15" x14ac:dyDescent="0.35">
      <c r="A1" s="9" t="s">
        <v>0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</row>
    <row r="2" spans="1:6" ht="15.5" x14ac:dyDescent="0.35">
      <c r="A2" s="7" t="s">
        <v>62</v>
      </c>
      <c r="B2" s="31">
        <f>AVERAGE('Data Mentah'!B2:H2)</f>
        <v>2.2857142857142856</v>
      </c>
      <c r="C2" s="32">
        <f>AVERAGE('Data Mentah'!I2:O2)</f>
        <v>2.2857142857142856</v>
      </c>
      <c r="D2" s="31">
        <f>AVERAGE('Data Mentah'!P2:V2)</f>
        <v>2.7142857142857144</v>
      </c>
      <c r="E2" s="32">
        <f>AVERAGE('Data Mentah'!W2:AB2)</f>
        <v>2.8333333333333335</v>
      </c>
      <c r="F2" s="32">
        <f>AVERAGE('Data Mentah'!AC2:AJ2)</f>
        <v>2.375</v>
      </c>
    </row>
    <row r="3" spans="1:6" ht="15.5" x14ac:dyDescent="0.35">
      <c r="A3" s="6" t="s">
        <v>46</v>
      </c>
      <c r="B3" s="32">
        <f>AVERAGE('Data Mentah'!B3:H3)</f>
        <v>3</v>
      </c>
      <c r="C3" s="32">
        <f>AVERAGE('Data Mentah'!I3:O3)</f>
        <v>2.8571428571428572</v>
      </c>
      <c r="D3" s="32">
        <f>AVERAGE('Data Mentah'!P3:V3)</f>
        <v>3</v>
      </c>
      <c r="E3" s="32">
        <f>AVERAGE('Data Mentah'!W3:AB3)</f>
        <v>3.1666666666666665</v>
      </c>
      <c r="F3" s="32">
        <f>AVERAGE('Data Mentah'!AC3:AJ3)</f>
        <v>3</v>
      </c>
    </row>
    <row r="4" spans="1:6" ht="15.5" x14ac:dyDescent="0.35">
      <c r="A4" s="7" t="s">
        <v>63</v>
      </c>
      <c r="B4" s="32">
        <f>AVERAGE('Data Mentah'!B4:H4)</f>
        <v>3</v>
      </c>
      <c r="C4" s="32">
        <f>AVERAGE('Data Mentah'!I4:O4)</f>
        <v>2.5714285714285716</v>
      </c>
      <c r="D4" s="32">
        <f>AVERAGE('Data Mentah'!P4:V4)</f>
        <v>3</v>
      </c>
      <c r="E4" s="32">
        <f>AVERAGE('Data Mentah'!W4:AB4)</f>
        <v>2.6666666666666665</v>
      </c>
      <c r="F4" s="32">
        <f>AVERAGE('Data Mentah'!AC4:AJ4)</f>
        <v>3</v>
      </c>
    </row>
    <row r="5" spans="1:6" ht="15.5" x14ac:dyDescent="0.35">
      <c r="A5" s="6" t="s">
        <v>47</v>
      </c>
      <c r="B5" s="32">
        <f>AVERAGE('Data Mentah'!B5:H5)</f>
        <v>2.2857142857142856</v>
      </c>
      <c r="C5" s="32">
        <f>AVERAGE('Data Mentah'!I5:O5)</f>
        <v>2</v>
      </c>
      <c r="D5" s="32">
        <f>AVERAGE('Data Mentah'!P5:V5)</f>
        <v>2.7142857142857144</v>
      </c>
      <c r="E5" s="32">
        <f>AVERAGE('Data Mentah'!W5:AB5)</f>
        <v>2.3333333333333335</v>
      </c>
      <c r="F5" s="32">
        <f>AVERAGE('Data Mentah'!AC5:AJ5)</f>
        <v>2.625</v>
      </c>
    </row>
    <row r="6" spans="1:6" ht="15.5" x14ac:dyDescent="0.35">
      <c r="A6" s="7" t="s">
        <v>64</v>
      </c>
      <c r="B6" s="32">
        <f>AVERAGE('Data Mentah'!B6:H6)</f>
        <v>2.5714285714285716</v>
      </c>
      <c r="C6" s="32">
        <f>AVERAGE('Data Mentah'!I6:O6)</f>
        <v>2</v>
      </c>
      <c r="D6" s="32">
        <f>AVERAGE('Data Mentah'!P6:V6)</f>
        <v>3.4285714285714284</v>
      </c>
      <c r="E6" s="32">
        <f>AVERAGE('Data Mentah'!W6:AB6)</f>
        <v>1.8333333333333333</v>
      </c>
      <c r="F6" s="32">
        <f>AVERAGE('Data Mentah'!AC6:AJ6)</f>
        <v>2.25</v>
      </c>
    </row>
    <row r="7" spans="1:6" ht="15.5" x14ac:dyDescent="0.35">
      <c r="A7" s="6" t="s">
        <v>65</v>
      </c>
      <c r="B7" s="32">
        <f>AVERAGE('Data Mentah'!B7:H7)</f>
        <v>3.5714285714285716</v>
      </c>
      <c r="C7" s="32">
        <f>AVERAGE('Data Mentah'!I7:O7)</f>
        <v>2.8571428571428572</v>
      </c>
      <c r="D7" s="32">
        <f>AVERAGE('Data Mentah'!P7:V7)</f>
        <v>3.7142857142857144</v>
      </c>
      <c r="E7" s="32">
        <f>AVERAGE('Data Mentah'!W7:AB7)</f>
        <v>3.1666666666666665</v>
      </c>
      <c r="F7" s="32">
        <f>AVERAGE('Data Mentah'!AC7:AJ7)</f>
        <v>3.375</v>
      </c>
    </row>
    <row r="8" spans="1:6" ht="15.5" x14ac:dyDescent="0.35">
      <c r="A8" s="7" t="s">
        <v>62</v>
      </c>
      <c r="B8" s="32">
        <f>AVERAGE('Data Mentah'!B8:H8)</f>
        <v>3.5714285714285716</v>
      </c>
      <c r="C8" s="32">
        <f>AVERAGE('Data Mentah'!I8:O8)</f>
        <v>3</v>
      </c>
      <c r="D8" s="32">
        <f>AVERAGE('Data Mentah'!P8:V8)</f>
        <v>3.2857142857142856</v>
      </c>
      <c r="E8" s="32">
        <f>AVERAGE('Data Mentah'!W8:AB8)</f>
        <v>3.8333333333333335</v>
      </c>
      <c r="F8" s="32">
        <f>AVERAGE('Data Mentah'!AC8:AJ8)</f>
        <v>3.625</v>
      </c>
    </row>
    <row r="9" spans="1:6" ht="15.5" x14ac:dyDescent="0.35">
      <c r="A9" s="6" t="s">
        <v>47</v>
      </c>
      <c r="B9" s="32">
        <f>AVERAGE('Data Mentah'!B9:H9)</f>
        <v>3.1428571428571428</v>
      </c>
      <c r="C9" s="32">
        <f>AVERAGE('Data Mentah'!I9:O9)</f>
        <v>3.4285714285714284</v>
      </c>
      <c r="D9" s="32">
        <f>AVERAGE('Data Mentah'!P9:V9)</f>
        <v>4</v>
      </c>
      <c r="E9" s="32">
        <f>AVERAGE('Data Mentah'!W9:AB9)</f>
        <v>3.6666666666666665</v>
      </c>
      <c r="F9" s="32">
        <f>AVERAGE('Data Mentah'!AC9:AJ9)</f>
        <v>3.5</v>
      </c>
    </row>
    <row r="10" spans="1:6" ht="15.5" x14ac:dyDescent="0.35">
      <c r="A10" s="7" t="s">
        <v>66</v>
      </c>
      <c r="B10" s="32">
        <f>AVERAGE('Data Mentah'!B10:H10)</f>
        <v>3.1428571428571428</v>
      </c>
      <c r="C10" s="32">
        <f>AVERAGE('Data Mentah'!I10:O10)</f>
        <v>3</v>
      </c>
      <c r="D10" s="32">
        <f>AVERAGE('Data Mentah'!P10:V10)</f>
        <v>3</v>
      </c>
      <c r="E10" s="32">
        <f>AVERAGE('Data Mentah'!W10:AB10)</f>
        <v>3.1666666666666665</v>
      </c>
      <c r="F10" s="32">
        <f>AVERAGE('Data Mentah'!AC10:AJ10)</f>
        <v>3.125</v>
      </c>
    </row>
    <row r="11" spans="1:6" ht="15.5" x14ac:dyDescent="0.35">
      <c r="A11" s="6" t="s">
        <v>48</v>
      </c>
      <c r="B11" s="32">
        <f>AVERAGE('Data Mentah'!B11:H11)</f>
        <v>4</v>
      </c>
      <c r="C11" s="32">
        <f>AVERAGE('Data Mentah'!I11:O11)</f>
        <v>4</v>
      </c>
      <c r="D11" s="32">
        <f>AVERAGE('Data Mentah'!P11:V11)</f>
        <v>4</v>
      </c>
      <c r="E11" s="32">
        <f>AVERAGE('Data Mentah'!W11:AB11)</f>
        <v>4</v>
      </c>
      <c r="F11" s="32">
        <f>AVERAGE('Data Mentah'!AC11:AJ11)</f>
        <v>4</v>
      </c>
    </row>
    <row r="12" spans="1:6" ht="15.5" x14ac:dyDescent="0.35">
      <c r="A12" s="7" t="s">
        <v>67</v>
      </c>
      <c r="B12" s="32">
        <f>AVERAGE('Data Mentah'!B12:H12)</f>
        <v>2.4285714285714284</v>
      </c>
      <c r="C12" s="32">
        <f>AVERAGE('Data Mentah'!I12:O12)</f>
        <v>2.2857142857142856</v>
      </c>
      <c r="D12" s="32">
        <f>AVERAGE('Data Mentah'!P12:V12)</f>
        <v>3.1428571428571428</v>
      </c>
      <c r="E12" s="32">
        <f>AVERAGE('Data Mentah'!W12:AB12)</f>
        <v>2.5</v>
      </c>
      <c r="F12" s="32">
        <f>AVERAGE('Data Mentah'!AC12:AJ12)</f>
        <v>2.875</v>
      </c>
    </row>
    <row r="13" spans="1:6" ht="15.5" x14ac:dyDescent="0.35">
      <c r="A13" s="6" t="s">
        <v>49</v>
      </c>
      <c r="B13" s="32">
        <f>AVERAGE('Data Mentah'!B13:H13)</f>
        <v>4</v>
      </c>
      <c r="C13" s="32">
        <f>AVERAGE('Data Mentah'!I13:O13)</f>
        <v>3.4285714285714284</v>
      </c>
      <c r="D13" s="32">
        <f>AVERAGE('Data Mentah'!P13:V13)</f>
        <v>3.4285714285714284</v>
      </c>
      <c r="E13" s="32">
        <f>AVERAGE('Data Mentah'!W13:AB13)</f>
        <v>3.1666666666666665</v>
      </c>
      <c r="F13" s="32">
        <f>AVERAGE('Data Mentah'!AC13:AJ13)</f>
        <v>3.375</v>
      </c>
    </row>
    <row r="14" spans="1:6" ht="15.5" x14ac:dyDescent="0.35">
      <c r="A14" s="7" t="s">
        <v>69</v>
      </c>
      <c r="B14" s="32">
        <f>AVERAGE('Data Mentah'!B14:H14)</f>
        <v>4</v>
      </c>
      <c r="C14" s="32">
        <f>AVERAGE('Data Mentah'!I14:O14)</f>
        <v>4</v>
      </c>
      <c r="D14" s="32">
        <f>AVERAGE('Data Mentah'!P14:V14)</f>
        <v>4</v>
      </c>
      <c r="E14" s="32">
        <f>AVERAGE('Data Mentah'!W14:AB14)</f>
        <v>4</v>
      </c>
      <c r="F14" s="32">
        <f>AVERAGE('Data Mentah'!AC14:AJ14)</f>
        <v>4</v>
      </c>
    </row>
    <row r="15" spans="1:6" ht="15.5" x14ac:dyDescent="0.35">
      <c r="A15" s="6" t="s">
        <v>54</v>
      </c>
      <c r="B15" s="32">
        <f>AVERAGE('Data Mentah'!B15:H15)</f>
        <v>3</v>
      </c>
      <c r="C15" s="32">
        <f>AVERAGE('Data Mentah'!I15:O15)</f>
        <v>2.5714285714285716</v>
      </c>
      <c r="D15" s="32">
        <f>AVERAGE('Data Mentah'!P15:V15)</f>
        <v>3</v>
      </c>
      <c r="E15" s="32">
        <f>AVERAGE('Data Mentah'!W15:AB15)</f>
        <v>3</v>
      </c>
      <c r="F15" s="32">
        <f>AVERAGE('Data Mentah'!AC15:AJ15)</f>
        <v>3</v>
      </c>
    </row>
    <row r="16" spans="1:6" ht="15.5" x14ac:dyDescent="0.35">
      <c r="A16" s="7" t="s">
        <v>68</v>
      </c>
      <c r="B16" s="32">
        <f>AVERAGE('Data Mentah'!B16:H16)</f>
        <v>3.2857142857142856</v>
      </c>
      <c r="C16" s="32">
        <f>AVERAGE('Data Mentah'!I16:O16)</f>
        <v>3.4285714285714284</v>
      </c>
      <c r="D16" s="32">
        <f>AVERAGE('Data Mentah'!P16:V16)</f>
        <v>3.2857142857142856</v>
      </c>
      <c r="E16" s="32">
        <f>AVERAGE('Data Mentah'!W16:AB16)</f>
        <v>3.6666666666666665</v>
      </c>
      <c r="F16" s="32">
        <f>AVERAGE('Data Mentah'!AC16:AJ16)</f>
        <v>3.125</v>
      </c>
    </row>
    <row r="17" spans="1:6" ht="15.5" x14ac:dyDescent="0.35">
      <c r="A17" s="6" t="s">
        <v>70</v>
      </c>
      <c r="B17" s="32">
        <f>AVERAGE('Data Mentah'!B17:H17)</f>
        <v>2.5714285714285716</v>
      </c>
      <c r="C17" s="32">
        <f>AVERAGE('Data Mentah'!I17:O17)</f>
        <v>2.2857142857142856</v>
      </c>
      <c r="D17" s="32">
        <f>AVERAGE('Data Mentah'!P17:V17)</f>
        <v>3.4285714285714284</v>
      </c>
      <c r="E17" s="32">
        <f>AVERAGE('Data Mentah'!W17:AB17)</f>
        <v>2</v>
      </c>
      <c r="F17" s="32">
        <f>AVERAGE('Data Mentah'!AC17:AJ17)</f>
        <v>3</v>
      </c>
    </row>
    <row r="18" spans="1:6" ht="15.5" x14ac:dyDescent="0.35">
      <c r="A18" s="7" t="s">
        <v>71</v>
      </c>
      <c r="B18" s="32">
        <f>AVERAGE('Data Mentah'!B18:H18)</f>
        <v>3</v>
      </c>
      <c r="C18" s="32">
        <f>AVERAGE('Data Mentah'!I18:O18)</f>
        <v>2.7142857142857144</v>
      </c>
      <c r="D18" s="32">
        <f>AVERAGE('Data Mentah'!P18:V18)</f>
        <v>3.1428571428571428</v>
      </c>
      <c r="E18" s="32">
        <f>AVERAGE('Data Mentah'!W18:AB18)</f>
        <v>2.8333333333333335</v>
      </c>
      <c r="F18" s="32">
        <f>AVERAGE('Data Mentah'!AC18:AJ18)</f>
        <v>2.875</v>
      </c>
    </row>
    <row r="19" spans="1:6" ht="15.5" x14ac:dyDescent="0.35">
      <c r="A19" s="6" t="s">
        <v>72</v>
      </c>
      <c r="B19" s="32">
        <f>AVERAGE('Data Mentah'!B19:H19)</f>
        <v>2.7142857142857144</v>
      </c>
      <c r="C19" s="32">
        <f>AVERAGE('Data Mentah'!I19:O19)</f>
        <v>2.8571428571428572</v>
      </c>
      <c r="D19" s="32">
        <f>AVERAGE('Data Mentah'!P19:V19)</f>
        <v>2.8571428571428572</v>
      </c>
      <c r="E19" s="32">
        <f>AVERAGE('Data Mentah'!W19:AB19)</f>
        <v>2.8333333333333335</v>
      </c>
      <c r="F19" s="32">
        <f>AVERAGE('Data Mentah'!AC19:AJ19)</f>
        <v>3</v>
      </c>
    </row>
    <row r="20" spans="1:6" ht="15.5" x14ac:dyDescent="0.35">
      <c r="A20" s="7" t="s">
        <v>73</v>
      </c>
      <c r="B20" s="32">
        <f>AVERAGE('Data Mentah'!B20:H20)</f>
        <v>4</v>
      </c>
      <c r="C20" s="32">
        <f>AVERAGE('Data Mentah'!I20:O20)</f>
        <v>4</v>
      </c>
      <c r="D20" s="32">
        <f>AVERAGE('Data Mentah'!P20:V20)</f>
        <v>4</v>
      </c>
      <c r="E20" s="32">
        <f>AVERAGE('Data Mentah'!W20:AB20)</f>
        <v>4</v>
      </c>
      <c r="F20" s="32">
        <f>AVERAGE('Data Mentah'!AC20:AJ20)</f>
        <v>4</v>
      </c>
    </row>
    <row r="21" spans="1:6" ht="15.5" x14ac:dyDescent="0.35">
      <c r="A21" s="6" t="s">
        <v>50</v>
      </c>
      <c r="B21" s="32">
        <f>AVERAGE('Data Mentah'!B21:H21)</f>
        <v>4</v>
      </c>
      <c r="C21" s="32">
        <f>AVERAGE('Data Mentah'!I21:O21)</f>
        <v>4</v>
      </c>
      <c r="D21" s="32">
        <f>AVERAGE('Data Mentah'!P21:V21)</f>
        <v>4</v>
      </c>
      <c r="E21" s="32">
        <f>AVERAGE('Data Mentah'!W21:AB21)</f>
        <v>4</v>
      </c>
      <c r="F21" s="32">
        <f>AVERAGE('Data Mentah'!AC21:AJ21)</f>
        <v>4</v>
      </c>
    </row>
    <row r="22" spans="1:6" ht="15.5" x14ac:dyDescent="0.35">
      <c r="A22" s="7" t="s">
        <v>51</v>
      </c>
      <c r="B22" s="32">
        <f>AVERAGE('Data Mentah'!B22:H22)</f>
        <v>4</v>
      </c>
      <c r="C22" s="32">
        <f>AVERAGE('Data Mentah'!I22:O22)</f>
        <v>4</v>
      </c>
      <c r="D22" s="32">
        <f>AVERAGE('Data Mentah'!P22:V22)</f>
        <v>4</v>
      </c>
      <c r="E22" s="32">
        <f>AVERAGE('Data Mentah'!W22:AB22)</f>
        <v>4</v>
      </c>
      <c r="F22" s="32">
        <f>AVERAGE('Data Mentah'!AC22:AJ22)</f>
        <v>3.625</v>
      </c>
    </row>
    <row r="23" spans="1:6" ht="15.5" x14ac:dyDescent="0.35">
      <c r="A23" s="6" t="s">
        <v>74</v>
      </c>
      <c r="B23" s="32">
        <f>AVERAGE('Data Mentah'!B23:H23)</f>
        <v>3</v>
      </c>
      <c r="C23" s="32">
        <f>AVERAGE('Data Mentah'!I23:O23)</f>
        <v>3</v>
      </c>
      <c r="D23" s="32">
        <f>AVERAGE('Data Mentah'!P23:V23)</f>
        <v>3</v>
      </c>
      <c r="E23" s="32">
        <f>AVERAGE('Data Mentah'!W23:AB23)</f>
        <v>3</v>
      </c>
      <c r="F23" s="32">
        <f>AVERAGE('Data Mentah'!AC23:AJ23)</f>
        <v>3</v>
      </c>
    </row>
    <row r="24" spans="1:6" ht="15.5" x14ac:dyDescent="0.35">
      <c r="A24" s="7" t="s">
        <v>75</v>
      </c>
      <c r="B24" s="32">
        <f>AVERAGE('Data Mentah'!B24:H24)</f>
        <v>3.2857142857142856</v>
      </c>
      <c r="C24" s="32">
        <f>AVERAGE('Data Mentah'!I24:O24)</f>
        <v>3</v>
      </c>
      <c r="D24" s="32">
        <f>AVERAGE('Data Mentah'!P24:V24)</f>
        <v>3</v>
      </c>
      <c r="E24" s="32">
        <f>AVERAGE('Data Mentah'!W24:AB24)</f>
        <v>3</v>
      </c>
      <c r="F24" s="32">
        <f>AVERAGE('Data Mentah'!AC24:AJ24)</f>
        <v>3</v>
      </c>
    </row>
    <row r="25" spans="1:6" ht="15.5" x14ac:dyDescent="0.35">
      <c r="A25" s="6" t="s">
        <v>52</v>
      </c>
      <c r="B25" s="32">
        <f>AVERAGE('Data Mentah'!B25:H25)</f>
        <v>3.4285714285714284</v>
      </c>
      <c r="C25" s="32">
        <f>AVERAGE('Data Mentah'!I25:O25)</f>
        <v>2.8571428571428572</v>
      </c>
      <c r="D25" s="32">
        <f>AVERAGE('Data Mentah'!P25:V25)</f>
        <v>3.4285714285714284</v>
      </c>
      <c r="E25" s="32">
        <f>AVERAGE('Data Mentah'!W25:AB25)</f>
        <v>3.1666666666666665</v>
      </c>
      <c r="F25" s="32">
        <f>AVERAGE('Data Mentah'!AC25:AJ25)</f>
        <v>3.25</v>
      </c>
    </row>
    <row r="26" spans="1:6" ht="15.5" x14ac:dyDescent="0.35">
      <c r="A26" s="7" t="s">
        <v>76</v>
      </c>
      <c r="B26" s="32">
        <f>AVERAGE('Data Mentah'!B26:H26)</f>
        <v>2.1428571428571428</v>
      </c>
      <c r="C26" s="32">
        <f>AVERAGE('Data Mentah'!I26:O26)</f>
        <v>2.5714285714285716</v>
      </c>
      <c r="D26" s="32">
        <f>AVERAGE('Data Mentah'!P26:V26)</f>
        <v>3</v>
      </c>
      <c r="E26" s="32">
        <f>AVERAGE('Data Mentah'!W26:AB26)</f>
        <v>3</v>
      </c>
      <c r="F26" s="32">
        <f>AVERAGE('Data Mentah'!AC26:AJ26)</f>
        <v>3</v>
      </c>
    </row>
    <row r="27" spans="1:6" ht="15.5" x14ac:dyDescent="0.35">
      <c r="A27" s="6" t="s">
        <v>53</v>
      </c>
      <c r="B27" s="32">
        <f>AVERAGE('Data Mentah'!B27:H27)</f>
        <v>3</v>
      </c>
      <c r="C27" s="32">
        <f>AVERAGE('Data Mentah'!I27:O27)</f>
        <v>2.4285714285714284</v>
      </c>
      <c r="D27" s="32">
        <f>AVERAGE('Data Mentah'!P27:V27)</f>
        <v>3.4285714285714284</v>
      </c>
      <c r="E27" s="32">
        <f>AVERAGE('Data Mentah'!W27:AB27)</f>
        <v>2.8333333333333335</v>
      </c>
      <c r="F27" s="32">
        <f>AVERAGE('Data Mentah'!AC27:AJ27)</f>
        <v>3</v>
      </c>
    </row>
    <row r="28" spans="1:6" ht="15.5" x14ac:dyDescent="0.35">
      <c r="A28" s="7" t="s">
        <v>77</v>
      </c>
      <c r="B28" s="32">
        <f>AVERAGE('Data Mentah'!B28:H28)</f>
        <v>3</v>
      </c>
      <c r="C28" s="32">
        <f>AVERAGE('Data Mentah'!I28:O28)</f>
        <v>3</v>
      </c>
      <c r="D28" s="32">
        <f>AVERAGE('Data Mentah'!P28:V28)</f>
        <v>3</v>
      </c>
      <c r="E28" s="32">
        <f>AVERAGE('Data Mentah'!W28:AB28)</f>
        <v>3</v>
      </c>
      <c r="F28" s="32">
        <f>AVERAGE('Data Mentah'!AC28:AJ28)</f>
        <v>3</v>
      </c>
    </row>
    <row r="29" spans="1:6" ht="15.5" x14ac:dyDescent="0.35">
      <c r="A29" s="6" t="s">
        <v>78</v>
      </c>
      <c r="B29" s="32">
        <f>AVERAGE('Data Mentah'!B29:H29)</f>
        <v>3</v>
      </c>
      <c r="C29" s="32">
        <f>AVERAGE('Data Mentah'!I29:O29)</f>
        <v>3</v>
      </c>
      <c r="D29" s="32">
        <f>AVERAGE('Data Mentah'!P29:V29)</f>
        <v>3</v>
      </c>
      <c r="E29" s="32">
        <f>AVERAGE('Data Mentah'!W29:AB29)</f>
        <v>3</v>
      </c>
      <c r="F29" s="32">
        <f>AVERAGE('Data Mentah'!AC29:AJ29)</f>
        <v>3.25</v>
      </c>
    </row>
    <row r="30" spans="1:6" ht="15.5" x14ac:dyDescent="0.35">
      <c r="A30" s="7" t="s">
        <v>79</v>
      </c>
      <c r="B30" s="32">
        <f>AVERAGE('Data Mentah'!B30:H30)</f>
        <v>2.8571428571428572</v>
      </c>
      <c r="C30" s="32">
        <f>AVERAGE('Data Mentah'!I30:O30)</f>
        <v>2.5714285714285716</v>
      </c>
      <c r="D30" s="32">
        <f>AVERAGE('Data Mentah'!P30:V30)</f>
        <v>3.4285714285714284</v>
      </c>
      <c r="E30" s="32">
        <f>AVERAGE('Data Mentah'!W30:AB30)</f>
        <v>3</v>
      </c>
      <c r="F30" s="32">
        <f>AVERAGE('Data Mentah'!AC30:AJ30)</f>
        <v>3.25</v>
      </c>
    </row>
    <row r="31" spans="1:6" ht="15.5" x14ac:dyDescent="0.35">
      <c r="A31" s="6" t="s">
        <v>80</v>
      </c>
      <c r="B31" s="32">
        <f>AVERAGE('Data Mentah'!B31:H31)</f>
        <v>2.8571428571428572</v>
      </c>
      <c r="C31" s="32">
        <f>AVERAGE('Data Mentah'!I31:O31)</f>
        <v>3</v>
      </c>
      <c r="D31" s="32">
        <f>AVERAGE('Data Mentah'!P31:V31)</f>
        <v>3</v>
      </c>
      <c r="E31" s="32">
        <f>AVERAGE('Data Mentah'!W31:AB31)</f>
        <v>3.1666666666666665</v>
      </c>
      <c r="F31" s="32">
        <f>AVERAGE('Data Mentah'!AC31:AJ31)</f>
        <v>3.125</v>
      </c>
    </row>
    <row r="32" spans="1:6" ht="15.5" x14ac:dyDescent="0.35">
      <c r="A32" s="7" t="s">
        <v>81</v>
      </c>
      <c r="B32" s="32">
        <f>AVERAGE('Data Mentah'!B32:H32)</f>
        <v>3</v>
      </c>
      <c r="C32" s="32">
        <f>AVERAGE('Data Mentah'!I32:O32)</f>
        <v>3</v>
      </c>
      <c r="D32" s="32">
        <f>AVERAGE('Data Mentah'!P32:V32)</f>
        <v>3</v>
      </c>
      <c r="E32" s="32">
        <f>AVERAGE('Data Mentah'!W32:AB32)</f>
        <v>3</v>
      </c>
      <c r="F32" s="32">
        <f>AVERAGE('Data Mentah'!AC32:AJ32)</f>
        <v>3</v>
      </c>
    </row>
    <row r="33" spans="1:6" ht="15.5" x14ac:dyDescent="0.35">
      <c r="A33" s="6" t="s">
        <v>54</v>
      </c>
      <c r="B33" s="32">
        <f>AVERAGE('Data Mentah'!B33:H33)</f>
        <v>2.7142857142857144</v>
      </c>
      <c r="C33" s="32">
        <f>AVERAGE('Data Mentah'!I33:O33)</f>
        <v>2.7142857142857144</v>
      </c>
      <c r="D33" s="32">
        <f>AVERAGE('Data Mentah'!P33:V33)</f>
        <v>3.5714285714285716</v>
      </c>
      <c r="E33" s="32">
        <f>AVERAGE('Data Mentah'!W33:AB33)</f>
        <v>2.8333333333333335</v>
      </c>
      <c r="F33" s="32">
        <f>AVERAGE('Data Mentah'!AC33:AJ33)</f>
        <v>3.125</v>
      </c>
    </row>
    <row r="34" spans="1:6" ht="15.5" x14ac:dyDescent="0.35">
      <c r="A34" s="7" t="s">
        <v>55</v>
      </c>
      <c r="B34" s="32">
        <f>AVERAGE('Data Mentah'!B34:H34)</f>
        <v>3</v>
      </c>
      <c r="C34" s="32">
        <f>AVERAGE('Data Mentah'!I34:O34)</f>
        <v>3</v>
      </c>
      <c r="D34" s="32">
        <f>AVERAGE('Data Mentah'!P34:V34)</f>
        <v>3</v>
      </c>
      <c r="E34" s="32">
        <f>AVERAGE('Data Mentah'!W34:AB34)</f>
        <v>3</v>
      </c>
      <c r="F34" s="32">
        <f>AVERAGE('Data Mentah'!AC34:AJ34)</f>
        <v>3</v>
      </c>
    </row>
    <row r="35" spans="1:6" ht="15.5" x14ac:dyDescent="0.35">
      <c r="A35" s="6" t="s">
        <v>82</v>
      </c>
      <c r="B35" s="32">
        <f>AVERAGE('Data Mentah'!B35:H35)</f>
        <v>3.7142857142857144</v>
      </c>
      <c r="C35" s="32">
        <f>AVERAGE('Data Mentah'!I35:O35)</f>
        <v>4</v>
      </c>
      <c r="D35" s="32">
        <f>AVERAGE('Data Mentah'!P35:V35)</f>
        <v>4</v>
      </c>
      <c r="E35" s="32">
        <f>AVERAGE('Data Mentah'!W35:AB35)</f>
        <v>4</v>
      </c>
      <c r="F35" s="32">
        <f>AVERAGE('Data Mentah'!AC35:AJ35)</f>
        <v>4</v>
      </c>
    </row>
    <row r="36" spans="1:6" ht="15.5" x14ac:dyDescent="0.35">
      <c r="A36" s="7" t="s">
        <v>72</v>
      </c>
      <c r="B36" s="32">
        <f>AVERAGE('Data Mentah'!B36:H36)</f>
        <v>3.4285714285714284</v>
      </c>
      <c r="C36" s="32">
        <f>AVERAGE('Data Mentah'!I36:O36)</f>
        <v>2.8571428571428572</v>
      </c>
      <c r="D36" s="32">
        <f>AVERAGE('Data Mentah'!P36:V36)</f>
        <v>3</v>
      </c>
      <c r="E36" s="32">
        <f>AVERAGE('Data Mentah'!W36:AB36)</f>
        <v>3</v>
      </c>
      <c r="F36" s="32">
        <f>AVERAGE('Data Mentah'!AC36:AJ36)</f>
        <v>3</v>
      </c>
    </row>
    <row r="37" spans="1:6" ht="15.5" x14ac:dyDescent="0.35">
      <c r="A37" s="6" t="s">
        <v>56</v>
      </c>
      <c r="B37" s="32">
        <f>AVERAGE('Data Mentah'!B37:H37)</f>
        <v>3</v>
      </c>
      <c r="C37" s="32">
        <f>AVERAGE('Data Mentah'!I37:O37)</f>
        <v>2.8571428571428572</v>
      </c>
      <c r="D37" s="32">
        <f>AVERAGE('Data Mentah'!P37:V37)</f>
        <v>3</v>
      </c>
      <c r="E37" s="32">
        <f>AVERAGE('Data Mentah'!W37:AB37)</f>
        <v>3</v>
      </c>
      <c r="F37" s="32">
        <f>AVERAGE('Data Mentah'!AC37:AJ37)</f>
        <v>3</v>
      </c>
    </row>
    <row r="38" spans="1:6" ht="15.5" x14ac:dyDescent="0.35">
      <c r="A38" s="7" t="s">
        <v>83</v>
      </c>
      <c r="B38" s="32">
        <f>AVERAGE('Data Mentah'!B38:H38)</f>
        <v>3.2857142857142856</v>
      </c>
      <c r="C38" s="32">
        <f>AVERAGE('Data Mentah'!I38:O38)</f>
        <v>3</v>
      </c>
      <c r="D38" s="32">
        <f>AVERAGE('Data Mentah'!P38:V38)</f>
        <v>3.1428571428571428</v>
      </c>
      <c r="E38" s="32">
        <f>AVERAGE('Data Mentah'!W38:AB38)</f>
        <v>3</v>
      </c>
      <c r="F38" s="32">
        <f>AVERAGE('Data Mentah'!AC38:AJ38)</f>
        <v>3.125</v>
      </c>
    </row>
    <row r="39" spans="1:6" ht="15.5" x14ac:dyDescent="0.35">
      <c r="A39" s="6" t="s">
        <v>84</v>
      </c>
      <c r="B39" s="32">
        <f>AVERAGE('Data Mentah'!B39:H39)</f>
        <v>3.4285714285714284</v>
      </c>
      <c r="C39" s="32">
        <f>AVERAGE('Data Mentah'!I39:O39)</f>
        <v>3.2857142857142856</v>
      </c>
      <c r="D39" s="32">
        <f>AVERAGE('Data Mentah'!P39:V39)</f>
        <v>3.7142857142857144</v>
      </c>
      <c r="E39" s="32">
        <f>AVERAGE('Data Mentah'!W39:AB39)</f>
        <v>3.3333333333333335</v>
      </c>
      <c r="F39" s="32">
        <f>AVERAGE('Data Mentah'!AC39:AJ39)</f>
        <v>3.625</v>
      </c>
    </row>
    <row r="40" spans="1:6" ht="15.5" x14ac:dyDescent="0.35">
      <c r="A40" s="7" t="s">
        <v>57</v>
      </c>
      <c r="B40" s="32">
        <f>AVERAGE('Data Mentah'!B40:H40)</f>
        <v>3.2857142857142856</v>
      </c>
      <c r="C40" s="32">
        <f>AVERAGE('Data Mentah'!I40:O40)</f>
        <v>2.8571428571428572</v>
      </c>
      <c r="D40" s="32">
        <f>AVERAGE('Data Mentah'!P40:V40)</f>
        <v>3.2857142857142856</v>
      </c>
      <c r="E40" s="32">
        <f>AVERAGE('Data Mentah'!W40:AB40)</f>
        <v>3</v>
      </c>
      <c r="F40" s="32">
        <f>AVERAGE('Data Mentah'!AC40:AJ40)</f>
        <v>3</v>
      </c>
    </row>
    <row r="41" spans="1:6" ht="15.5" x14ac:dyDescent="0.35">
      <c r="A41" s="6" t="s">
        <v>85</v>
      </c>
      <c r="B41" s="32">
        <f>AVERAGE('Data Mentah'!B41:H41)</f>
        <v>2.5714285714285716</v>
      </c>
      <c r="C41" s="32">
        <f>AVERAGE('Data Mentah'!I41:O41)</f>
        <v>3.1428571428571428</v>
      </c>
      <c r="D41" s="32">
        <f>AVERAGE('Data Mentah'!P41:V41)</f>
        <v>3.2857142857142856</v>
      </c>
      <c r="E41" s="32">
        <f>AVERAGE('Data Mentah'!W41:AB41)</f>
        <v>3.1666666666666665</v>
      </c>
      <c r="F41" s="32">
        <f>AVERAGE('Data Mentah'!AC41:AJ41)</f>
        <v>3</v>
      </c>
    </row>
    <row r="42" spans="1:6" ht="15.5" x14ac:dyDescent="0.35">
      <c r="A42" s="7" t="s">
        <v>58</v>
      </c>
      <c r="B42" s="32">
        <f>AVERAGE('Data Mentah'!B42:H42)</f>
        <v>3</v>
      </c>
      <c r="C42" s="32">
        <f>AVERAGE('Data Mentah'!I42:O42)</f>
        <v>3</v>
      </c>
      <c r="D42" s="32">
        <f>AVERAGE('Data Mentah'!P42:V42)</f>
        <v>3</v>
      </c>
      <c r="E42" s="32">
        <f>AVERAGE('Data Mentah'!W42:AB42)</f>
        <v>3</v>
      </c>
      <c r="F42" s="32">
        <f>AVERAGE('Data Mentah'!AC42:AJ42)</f>
        <v>3</v>
      </c>
    </row>
    <row r="43" spans="1:6" ht="15.5" x14ac:dyDescent="0.35">
      <c r="A43" s="6" t="s">
        <v>59</v>
      </c>
      <c r="B43" s="32">
        <f>AVERAGE('Data Mentah'!B43:H43)</f>
        <v>3</v>
      </c>
      <c r="C43" s="32">
        <f>AVERAGE('Data Mentah'!I43:O43)</f>
        <v>3</v>
      </c>
      <c r="D43" s="32">
        <f>AVERAGE('Data Mentah'!P43:V43)</f>
        <v>3.1428571428571428</v>
      </c>
      <c r="E43" s="32">
        <f>AVERAGE('Data Mentah'!W43:AB43)</f>
        <v>3</v>
      </c>
      <c r="F43" s="32">
        <f>AVERAGE('Data Mentah'!AC43:AJ43)</f>
        <v>2.75</v>
      </c>
    </row>
    <row r="44" spans="1:6" ht="15.5" x14ac:dyDescent="0.35">
      <c r="A44" s="7" t="s">
        <v>58</v>
      </c>
      <c r="B44" s="32">
        <f>AVERAGE('Data Mentah'!B44:H44)</f>
        <v>3</v>
      </c>
      <c r="C44" s="32">
        <f>AVERAGE('Data Mentah'!I44:O44)</f>
        <v>3</v>
      </c>
      <c r="D44" s="32">
        <f>AVERAGE('Data Mentah'!P44:V44)</f>
        <v>3</v>
      </c>
      <c r="E44" s="32">
        <f>AVERAGE('Data Mentah'!W44:AB44)</f>
        <v>3</v>
      </c>
      <c r="F44" s="32">
        <f>AVERAGE('Data Mentah'!AC44:AJ44)</f>
        <v>3</v>
      </c>
    </row>
    <row r="45" spans="1:6" ht="15.5" x14ac:dyDescent="0.35">
      <c r="A45" s="6" t="s">
        <v>60</v>
      </c>
      <c r="B45" s="32">
        <f>AVERAGE('Data Mentah'!B45:H45)</f>
        <v>3</v>
      </c>
      <c r="C45" s="32">
        <f>AVERAGE('Data Mentah'!I45:O45)</f>
        <v>3</v>
      </c>
      <c r="D45" s="32">
        <f>AVERAGE('Data Mentah'!P45:V45)</f>
        <v>3</v>
      </c>
      <c r="E45" s="32">
        <f>AVERAGE('Data Mentah'!W45:AB45)</f>
        <v>3</v>
      </c>
      <c r="F45" s="32">
        <f>AVERAGE('Data Mentah'!AC45:AJ45)</f>
        <v>3</v>
      </c>
    </row>
    <row r="46" spans="1:6" ht="15.5" x14ac:dyDescent="0.35">
      <c r="A46" s="7" t="s">
        <v>61</v>
      </c>
      <c r="B46" s="32">
        <f>AVERAGE('Data Mentah'!B46:H46)</f>
        <v>2.7142857142857144</v>
      </c>
      <c r="C46" s="32">
        <f>AVERAGE('Data Mentah'!I46:O46)</f>
        <v>2.8571428571428572</v>
      </c>
      <c r="D46" s="32">
        <f>AVERAGE('Data Mentah'!P46:V46)</f>
        <v>3</v>
      </c>
      <c r="E46" s="32">
        <f>AVERAGE('Data Mentah'!W46:AB46)</f>
        <v>2.8333333333333335</v>
      </c>
      <c r="F46" s="32">
        <f>AVERAGE('Data Mentah'!AC46:AJ46)</f>
        <v>3</v>
      </c>
    </row>
    <row r="47" spans="1:6" ht="15.5" x14ac:dyDescent="0.35">
      <c r="A47" s="6" t="s">
        <v>86</v>
      </c>
      <c r="B47" s="32">
        <f>AVERAGE('Data Mentah'!B47:H47)</f>
        <v>3.5714285714285716</v>
      </c>
      <c r="C47" s="32">
        <f>AVERAGE('Data Mentah'!I47:O47)</f>
        <v>2.2857142857142856</v>
      </c>
      <c r="D47" s="32">
        <f>AVERAGE('Data Mentah'!P47:V47)</f>
        <v>3.5714285714285716</v>
      </c>
      <c r="E47" s="32">
        <f>AVERAGE('Data Mentah'!W47:AB47)</f>
        <v>3</v>
      </c>
      <c r="F47" s="32">
        <f>AVERAGE('Data Mentah'!AC47:AJ47)</f>
        <v>3.25</v>
      </c>
    </row>
    <row r="48" spans="1:6" ht="15.5" x14ac:dyDescent="0.35">
      <c r="A48" s="7" t="s">
        <v>87</v>
      </c>
      <c r="B48" s="32">
        <f>AVERAGE('Data Mentah'!B48:H48)</f>
        <v>3.7142857142857144</v>
      </c>
      <c r="C48" s="32">
        <f>AVERAGE('Data Mentah'!I48:O48)</f>
        <v>2.8571428571428572</v>
      </c>
      <c r="D48" s="32">
        <f>AVERAGE('Data Mentah'!P48:V48)</f>
        <v>3.1428571428571428</v>
      </c>
      <c r="E48" s="32">
        <f>AVERAGE('Data Mentah'!W48:AB48)</f>
        <v>3</v>
      </c>
      <c r="F48" s="32">
        <f>AVERAGE('Data Mentah'!AC48:AJ48)</f>
        <v>3</v>
      </c>
    </row>
    <row r="49" spans="1:6" ht="15.5" x14ac:dyDescent="0.35">
      <c r="A49" s="6" t="s">
        <v>59</v>
      </c>
      <c r="B49" s="32">
        <f>AVERAGE('Data Mentah'!B49:H49)</f>
        <v>2.2857142857142856</v>
      </c>
      <c r="C49" s="32">
        <f>AVERAGE('Data Mentah'!I49:O49)</f>
        <v>1.5714285714285714</v>
      </c>
      <c r="D49" s="32">
        <f>AVERAGE('Data Mentah'!P49:V49)</f>
        <v>2.7142857142857144</v>
      </c>
      <c r="E49" s="32">
        <f>AVERAGE('Data Mentah'!W49:AB49)</f>
        <v>2.5</v>
      </c>
      <c r="F49" s="32">
        <f>AVERAGE('Data Mentah'!AC49:AJ49)</f>
        <v>2.375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H14" sqref="H14"/>
    </sheetView>
  </sheetViews>
  <sheetFormatPr defaultRowHeight="14.5" x14ac:dyDescent="0.35"/>
  <cols>
    <col min="1" max="1" width="19.81640625" bestFit="1" customWidth="1"/>
    <col min="2" max="3" width="12.90625" bestFit="1" customWidth="1"/>
    <col min="4" max="4" width="9.6328125" bestFit="1" customWidth="1"/>
    <col min="5" max="5" width="12.90625" bestFit="1" customWidth="1"/>
  </cols>
  <sheetData>
    <row r="1" spans="1:5" ht="15" x14ac:dyDescent="0.35">
      <c r="A1" s="33" t="s">
        <v>41</v>
      </c>
      <c r="B1" s="34" t="s">
        <v>42</v>
      </c>
      <c r="C1" s="34" t="s">
        <v>43</v>
      </c>
      <c r="D1" s="34" t="s">
        <v>44</v>
      </c>
      <c r="E1" s="34" t="s">
        <v>45</v>
      </c>
    </row>
    <row r="2" spans="1:5" ht="15.5" x14ac:dyDescent="0.35">
      <c r="A2" s="8" t="s">
        <v>36</v>
      </c>
      <c r="B2" s="4">
        <f>AVERAGE('Skor Variabel'!B2:B49)</f>
        <v>3.1220238095238102</v>
      </c>
      <c r="C2" s="4">
        <f>MIN('Skor Variabel'!B2:B49)</f>
        <v>2.1428571428571428</v>
      </c>
      <c r="D2" s="4">
        <f>MAX('Skor Variabel'!B2:B49)</f>
        <v>4</v>
      </c>
      <c r="E2" s="4">
        <f>_xlfn.STDEV.S('Skor Variabel'!B2:B49)</f>
        <v>0.49748789980273</v>
      </c>
    </row>
    <row r="3" spans="1:5" ht="15.5" x14ac:dyDescent="0.35">
      <c r="A3" s="8" t="s">
        <v>37</v>
      </c>
      <c r="B3" s="4">
        <f>AVERAGE('Skor Variabel'!B3:B50)</f>
        <v>3.1398176291793316</v>
      </c>
      <c r="C3" s="4">
        <f>MIN('Skor Variabel'!B3:B50)</f>
        <v>2.1428571428571428</v>
      </c>
      <c r="D3" s="4">
        <f>MAX('Skor Variabel'!B3:B50)</f>
        <v>4</v>
      </c>
      <c r="E3" s="4">
        <f>_xlfn.STDEV.S('Skor Variabel'!B3:B50)</f>
        <v>0.48718207315797113</v>
      </c>
    </row>
    <row r="4" spans="1:5" ht="15.5" x14ac:dyDescent="0.35">
      <c r="A4" s="8" t="s">
        <v>38</v>
      </c>
      <c r="B4" s="4">
        <f>AVERAGE('Skor Variabel'!B4:B51)</f>
        <v>3.1428571428571432</v>
      </c>
      <c r="C4" s="4">
        <f>MIN('Skor Variabel'!B4:B51)</f>
        <v>2.1428571428571428</v>
      </c>
      <c r="D4" s="4">
        <f>MAX('Skor Variabel'!B4:B51)</f>
        <v>4</v>
      </c>
      <c r="E4" s="4">
        <f>_xlfn.STDEV.S('Skor Variabel'!B4:B51)</f>
        <v>0.49211469267671465</v>
      </c>
    </row>
    <row r="5" spans="1:5" ht="15.5" x14ac:dyDescent="0.35">
      <c r="A5" s="8" t="s">
        <v>39</v>
      </c>
      <c r="B5" s="4">
        <f>AVERAGE('Skor Variabel'!B5:B52)</f>
        <v>3.1460317460317464</v>
      </c>
      <c r="C5" s="4">
        <f>MIN('Skor Variabel'!B5:B52)</f>
        <v>2.1428571428571428</v>
      </c>
      <c r="D5" s="4">
        <f>MAX('Skor Variabel'!B5:B52)</f>
        <v>4</v>
      </c>
      <c r="E5" s="4">
        <f>_xlfn.STDEV.S('Skor Variabel'!B5:B52)</f>
        <v>0.49719891541763417</v>
      </c>
    </row>
    <row r="6" spans="1:5" ht="15.5" x14ac:dyDescent="0.35">
      <c r="A6" s="10" t="s">
        <v>40</v>
      </c>
      <c r="B6" s="4">
        <f>AVERAGE('Skor Variabel'!B6:B53)</f>
        <v>3.1655844155844162</v>
      </c>
      <c r="C6" s="4">
        <f>MIN('Skor Variabel'!B6:B53)</f>
        <v>2.1428571428571428</v>
      </c>
      <c r="D6" s="4">
        <f>MAX('Skor Variabel'!B6:B53)</f>
        <v>4</v>
      </c>
      <c r="E6" s="4">
        <f>_xlfn.STDEV.S('Skor Variabel'!B6:B53)</f>
        <v>0.48513076324314369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9"/>
  <sheetViews>
    <sheetView tabSelected="1" zoomScale="70" zoomScaleNormal="70" workbookViewId="0">
      <selection activeCell="P34" sqref="P34"/>
    </sheetView>
  </sheetViews>
  <sheetFormatPr defaultRowHeight="14.5" x14ac:dyDescent="0.35"/>
  <cols>
    <col min="1" max="1" width="20.36328125" bestFit="1" customWidth="1"/>
    <col min="2" max="2" width="21.1796875" bestFit="1" customWidth="1"/>
    <col min="3" max="3" width="17.1796875" bestFit="1" customWidth="1"/>
    <col min="4" max="4" width="26.36328125" bestFit="1" customWidth="1"/>
    <col min="5" max="5" width="20.6328125" bestFit="1" customWidth="1"/>
    <col min="10" max="10" width="19.90625" bestFit="1" customWidth="1"/>
    <col min="11" max="11" width="11.81640625" bestFit="1" customWidth="1"/>
    <col min="12" max="12" width="14.453125" bestFit="1" customWidth="1"/>
    <col min="13" max="14" width="12.90625" bestFit="1" customWidth="1"/>
    <col min="15" max="15" width="13.36328125" bestFit="1" customWidth="1"/>
    <col min="16" max="16" width="11.81640625" customWidth="1"/>
    <col min="17" max="17" width="12.6328125" bestFit="1" customWidth="1"/>
    <col min="18" max="18" width="12.7265625" bestFit="1" customWidth="1"/>
  </cols>
  <sheetData>
    <row r="1" spans="1:18" ht="15" x14ac:dyDescent="0.35">
      <c r="A1" s="9" t="s">
        <v>36</v>
      </c>
      <c r="B1" s="2" t="s">
        <v>37</v>
      </c>
      <c r="C1" s="2" t="s">
        <v>38</v>
      </c>
      <c r="D1" s="2" t="s">
        <v>39</v>
      </c>
      <c r="E1" s="11" t="s">
        <v>40</v>
      </c>
    </row>
    <row r="2" spans="1:18" ht="15.5" x14ac:dyDescent="0.35">
      <c r="A2" s="35">
        <f>'Skor Variabel'!B2</f>
        <v>2.2857142857142856</v>
      </c>
      <c r="B2" s="36">
        <f>'Skor Variabel'!C2</f>
        <v>2.2857142857142856</v>
      </c>
      <c r="C2" s="36">
        <f>'Skor Variabel'!D2</f>
        <v>2.7142857142857144</v>
      </c>
      <c r="D2" s="36">
        <f>'Skor Variabel'!E2</f>
        <v>2.8333333333333335</v>
      </c>
      <c r="E2" s="37">
        <f>'Skor Variabel'!F2</f>
        <v>2.375</v>
      </c>
    </row>
    <row r="3" spans="1:18" ht="15.5" x14ac:dyDescent="0.35">
      <c r="A3" s="35">
        <f>'Skor Variabel'!B3</f>
        <v>3</v>
      </c>
      <c r="B3" s="36">
        <f>'Skor Variabel'!C3</f>
        <v>2.8571428571428572</v>
      </c>
      <c r="C3" s="36">
        <f>'Skor Variabel'!D3</f>
        <v>3</v>
      </c>
      <c r="D3" s="36">
        <f>'Skor Variabel'!E3</f>
        <v>3.1666666666666665</v>
      </c>
      <c r="E3" s="37">
        <f>'Skor Variabel'!F3</f>
        <v>3</v>
      </c>
    </row>
    <row r="4" spans="1:18" ht="15.5" x14ac:dyDescent="0.35">
      <c r="A4" s="35">
        <f>'Skor Variabel'!B4</f>
        <v>3</v>
      </c>
      <c r="B4" s="36">
        <f>'Skor Variabel'!C4</f>
        <v>2.5714285714285716</v>
      </c>
      <c r="C4" s="36">
        <f>'Skor Variabel'!D4</f>
        <v>3</v>
      </c>
      <c r="D4" s="36">
        <f>'Skor Variabel'!E4</f>
        <v>2.6666666666666665</v>
      </c>
      <c r="E4" s="37">
        <f>'Skor Variabel'!F4</f>
        <v>3</v>
      </c>
      <c r="J4" s="27" t="s">
        <v>88</v>
      </c>
      <c r="K4" s="14"/>
      <c r="L4" s="14"/>
      <c r="M4" s="14"/>
      <c r="N4" s="14"/>
      <c r="O4" s="14"/>
      <c r="P4" s="14"/>
      <c r="Q4" s="14"/>
      <c r="R4" s="14"/>
    </row>
    <row r="5" spans="1:18" ht="15.5" x14ac:dyDescent="0.35">
      <c r="A5" s="35">
        <f>'Skor Variabel'!B5</f>
        <v>2.2857142857142856</v>
      </c>
      <c r="B5" s="36">
        <f>'Skor Variabel'!C5</f>
        <v>2</v>
      </c>
      <c r="C5" s="36">
        <f>'Skor Variabel'!D5</f>
        <v>2.7142857142857144</v>
      </c>
      <c r="D5" s="36">
        <f>'Skor Variabel'!E5</f>
        <v>2.3333333333333335</v>
      </c>
      <c r="E5" s="37">
        <f>'Skor Variabel'!F5</f>
        <v>2.625</v>
      </c>
      <c r="J5" s="14"/>
      <c r="K5" s="14"/>
      <c r="L5" s="14"/>
      <c r="M5" s="14"/>
      <c r="N5" s="14"/>
      <c r="O5" s="14"/>
      <c r="P5" s="14"/>
      <c r="Q5" s="14"/>
      <c r="R5" s="14"/>
    </row>
    <row r="6" spans="1:18" ht="15.5" x14ac:dyDescent="0.35">
      <c r="A6" s="35">
        <f>'Skor Variabel'!B6</f>
        <v>2.5714285714285716</v>
      </c>
      <c r="B6" s="36">
        <f>'Skor Variabel'!C6</f>
        <v>2</v>
      </c>
      <c r="C6" s="36">
        <f>'Skor Variabel'!D6</f>
        <v>3.4285714285714284</v>
      </c>
      <c r="D6" s="36">
        <f>'Skor Variabel'!E6</f>
        <v>1.8333333333333333</v>
      </c>
      <c r="E6" s="37">
        <f>'Skor Variabel'!F6</f>
        <v>2.25</v>
      </c>
      <c r="J6" s="22" t="s">
        <v>89</v>
      </c>
      <c r="K6" s="22"/>
      <c r="L6" s="14"/>
      <c r="M6" s="14"/>
      <c r="N6" s="14"/>
      <c r="O6" s="14"/>
      <c r="P6" s="14"/>
      <c r="Q6" s="14"/>
      <c r="R6" s="14"/>
    </row>
    <row r="7" spans="1:18" ht="15.5" x14ac:dyDescent="0.35">
      <c r="A7" s="35">
        <f>'Skor Variabel'!B7</f>
        <v>3.5714285714285716</v>
      </c>
      <c r="B7" s="36">
        <f>'Skor Variabel'!C7</f>
        <v>2.8571428571428572</v>
      </c>
      <c r="C7" s="36">
        <f>'Skor Variabel'!D7</f>
        <v>3.7142857142857144</v>
      </c>
      <c r="D7" s="36">
        <f>'Skor Variabel'!E7</f>
        <v>3.1666666666666665</v>
      </c>
      <c r="E7" s="37">
        <f>'Skor Variabel'!F7</f>
        <v>3.375</v>
      </c>
      <c r="J7" s="15" t="s">
        <v>90</v>
      </c>
      <c r="K7" s="15">
        <v>0.93301064248621746</v>
      </c>
      <c r="L7" s="14"/>
      <c r="M7" s="14"/>
      <c r="N7" s="14"/>
      <c r="O7" s="14"/>
      <c r="P7" s="14"/>
      <c r="Q7" s="14"/>
      <c r="R7" s="14"/>
    </row>
    <row r="8" spans="1:18" ht="15.5" x14ac:dyDescent="0.35">
      <c r="A8" s="35">
        <f>'Skor Variabel'!B8</f>
        <v>3.5714285714285716</v>
      </c>
      <c r="B8" s="36">
        <f>'Skor Variabel'!C8</f>
        <v>3</v>
      </c>
      <c r="C8" s="36">
        <f>'Skor Variabel'!D8</f>
        <v>3.2857142857142856</v>
      </c>
      <c r="D8" s="36">
        <f>'Skor Variabel'!E8</f>
        <v>3.8333333333333335</v>
      </c>
      <c r="E8" s="37">
        <f>'Skor Variabel'!F8</f>
        <v>3.625</v>
      </c>
      <c r="J8" s="15" t="s">
        <v>91</v>
      </c>
      <c r="K8" s="15">
        <v>0.87050885899254438</v>
      </c>
      <c r="L8" s="14"/>
      <c r="M8" s="14"/>
      <c r="N8" s="14"/>
      <c r="O8" s="14"/>
      <c r="P8" s="14"/>
      <c r="Q8" s="14"/>
      <c r="R8" s="14"/>
    </row>
    <row r="9" spans="1:18" ht="15.5" x14ac:dyDescent="0.35">
      <c r="A9" s="35">
        <f>'Skor Variabel'!B9</f>
        <v>3.1428571428571428</v>
      </c>
      <c r="B9" s="36">
        <f>'Skor Variabel'!C9</f>
        <v>3.4285714285714284</v>
      </c>
      <c r="C9" s="36">
        <f>'Skor Variabel'!D9</f>
        <v>4</v>
      </c>
      <c r="D9" s="36">
        <f>'Skor Variabel'!E9</f>
        <v>3.6666666666666665</v>
      </c>
      <c r="E9" s="37">
        <f>'Skor Variabel'!F9</f>
        <v>3.5</v>
      </c>
      <c r="J9" s="15" t="s">
        <v>92</v>
      </c>
      <c r="K9" s="15">
        <v>0.85846317145696716</v>
      </c>
      <c r="L9" s="14"/>
      <c r="M9" s="14"/>
      <c r="N9" s="14"/>
      <c r="O9" s="14"/>
      <c r="P9" s="14"/>
      <c r="Q9" s="14"/>
      <c r="R9" s="14"/>
    </row>
    <row r="10" spans="1:18" ht="15.5" x14ac:dyDescent="0.35">
      <c r="A10" s="35">
        <f>'Skor Variabel'!B10</f>
        <v>3.1428571428571428</v>
      </c>
      <c r="B10" s="36">
        <f>'Skor Variabel'!C10</f>
        <v>3</v>
      </c>
      <c r="C10" s="36">
        <f>'Skor Variabel'!D10</f>
        <v>3</v>
      </c>
      <c r="D10" s="36">
        <f>'Skor Variabel'!E10</f>
        <v>3.1666666666666665</v>
      </c>
      <c r="E10" s="37">
        <f>'Skor Variabel'!F10</f>
        <v>3.125</v>
      </c>
      <c r="J10" s="15" t="s">
        <v>93</v>
      </c>
      <c r="K10" s="15">
        <v>0.15152924332990314</v>
      </c>
      <c r="L10" s="14"/>
      <c r="M10" s="14"/>
      <c r="N10" s="14"/>
      <c r="O10" s="14"/>
      <c r="P10" s="14"/>
      <c r="Q10" s="14"/>
      <c r="R10" s="14"/>
    </row>
    <row r="11" spans="1:18" ht="15.5" x14ac:dyDescent="0.35">
      <c r="A11" s="35">
        <f>'Skor Variabel'!B11</f>
        <v>4</v>
      </c>
      <c r="B11" s="36">
        <f>'Skor Variabel'!C11</f>
        <v>4</v>
      </c>
      <c r="C11" s="36">
        <f>'Skor Variabel'!D11</f>
        <v>4</v>
      </c>
      <c r="D11" s="36">
        <f>'Skor Variabel'!E11</f>
        <v>4</v>
      </c>
      <c r="E11" s="37">
        <f>'Skor Variabel'!F11</f>
        <v>4</v>
      </c>
      <c r="J11" s="23" t="s">
        <v>94</v>
      </c>
      <c r="K11" s="23">
        <v>48</v>
      </c>
      <c r="L11" s="14"/>
      <c r="M11" s="14"/>
      <c r="N11" s="14"/>
      <c r="O11" s="14"/>
      <c r="P11" s="14"/>
      <c r="Q11" s="14"/>
      <c r="R11" s="14"/>
    </row>
    <row r="12" spans="1:18" ht="15.5" x14ac:dyDescent="0.35">
      <c r="A12" s="35">
        <f>'Skor Variabel'!B12</f>
        <v>2.4285714285714284</v>
      </c>
      <c r="B12" s="36">
        <f>'Skor Variabel'!C12</f>
        <v>2.2857142857142856</v>
      </c>
      <c r="C12" s="36">
        <f>'Skor Variabel'!D12</f>
        <v>3.1428571428571428</v>
      </c>
      <c r="D12" s="36">
        <f>'Skor Variabel'!E12</f>
        <v>2.5</v>
      </c>
      <c r="E12" s="37">
        <f>'Skor Variabel'!F12</f>
        <v>2.875</v>
      </c>
      <c r="J12" s="14"/>
      <c r="K12" s="14"/>
      <c r="L12" s="14"/>
      <c r="M12" s="14"/>
      <c r="N12" s="14"/>
      <c r="O12" s="14"/>
      <c r="P12" s="14"/>
      <c r="Q12" s="14"/>
      <c r="R12" s="14"/>
    </row>
    <row r="13" spans="1:18" ht="15.5" x14ac:dyDescent="0.35">
      <c r="A13" s="35">
        <f>'Skor Variabel'!B13</f>
        <v>4</v>
      </c>
      <c r="B13" s="36">
        <f>'Skor Variabel'!C13</f>
        <v>3.4285714285714284</v>
      </c>
      <c r="C13" s="36">
        <f>'Skor Variabel'!D13</f>
        <v>3.4285714285714284</v>
      </c>
      <c r="D13" s="36">
        <f>'Skor Variabel'!E13</f>
        <v>3.1666666666666665</v>
      </c>
      <c r="E13" s="37">
        <f>'Skor Variabel'!F13</f>
        <v>3.375</v>
      </c>
      <c r="J13" s="20" t="s">
        <v>95</v>
      </c>
      <c r="K13" s="16"/>
      <c r="L13" s="16"/>
      <c r="M13" s="16"/>
      <c r="N13" s="16"/>
      <c r="O13" s="16"/>
      <c r="P13" s="14"/>
      <c r="Q13" s="14"/>
      <c r="R13" s="14"/>
    </row>
    <row r="14" spans="1:18" ht="15.5" x14ac:dyDescent="0.35">
      <c r="A14" s="35">
        <f>'Skor Variabel'!B14</f>
        <v>4</v>
      </c>
      <c r="B14" s="36">
        <f>'Skor Variabel'!C14</f>
        <v>4</v>
      </c>
      <c r="C14" s="36">
        <f>'Skor Variabel'!D14</f>
        <v>4</v>
      </c>
      <c r="D14" s="36">
        <f>'Skor Variabel'!E14</f>
        <v>4</v>
      </c>
      <c r="E14" s="37">
        <f>'Skor Variabel'!F14</f>
        <v>4</v>
      </c>
      <c r="J14" s="17"/>
      <c r="K14" s="21" t="s">
        <v>100</v>
      </c>
      <c r="L14" s="21" t="s">
        <v>101</v>
      </c>
      <c r="M14" s="21" t="s">
        <v>102</v>
      </c>
      <c r="N14" s="21" t="s">
        <v>103</v>
      </c>
      <c r="O14" s="21" t="s">
        <v>104</v>
      </c>
      <c r="P14" s="14"/>
      <c r="Q14" s="14"/>
      <c r="R14" s="14"/>
    </row>
    <row r="15" spans="1:18" ht="15.5" x14ac:dyDescent="0.35">
      <c r="A15" s="35">
        <f>'Skor Variabel'!B15</f>
        <v>3</v>
      </c>
      <c r="B15" s="36">
        <f>'Skor Variabel'!C15</f>
        <v>2.5714285714285716</v>
      </c>
      <c r="C15" s="36">
        <f>'Skor Variabel'!D15</f>
        <v>3</v>
      </c>
      <c r="D15" s="36">
        <f>'Skor Variabel'!E15</f>
        <v>3</v>
      </c>
      <c r="E15" s="37">
        <f>'Skor Variabel'!F15</f>
        <v>3</v>
      </c>
      <c r="J15" s="13" t="s">
        <v>96</v>
      </c>
      <c r="K15" s="16">
        <v>4</v>
      </c>
      <c r="L15" s="16">
        <v>6.6373466810489452</v>
      </c>
      <c r="M15" s="16">
        <v>1.6593366702622363</v>
      </c>
      <c r="N15" s="16">
        <v>72.267262156806964</v>
      </c>
      <c r="O15" s="16">
        <v>1.6142795230179198E-18</v>
      </c>
      <c r="P15" s="14"/>
      <c r="Q15" s="14"/>
      <c r="R15" s="14"/>
    </row>
    <row r="16" spans="1:18" ht="15.5" x14ac:dyDescent="0.35">
      <c r="A16" s="35">
        <f>'Skor Variabel'!B16</f>
        <v>3.2857142857142856</v>
      </c>
      <c r="B16" s="36">
        <f>'Skor Variabel'!C16</f>
        <v>3.4285714285714284</v>
      </c>
      <c r="C16" s="36">
        <f>'Skor Variabel'!D16</f>
        <v>3.2857142857142856</v>
      </c>
      <c r="D16" s="36">
        <f>'Skor Variabel'!E16</f>
        <v>3.6666666666666665</v>
      </c>
      <c r="E16" s="37">
        <f>'Skor Variabel'!F16</f>
        <v>3.125</v>
      </c>
      <c r="J16" s="13" t="s">
        <v>97</v>
      </c>
      <c r="K16" s="16">
        <v>43</v>
      </c>
      <c r="L16" s="16">
        <v>0.98732779811771876</v>
      </c>
      <c r="M16" s="16">
        <v>2.2961111584132995E-2</v>
      </c>
      <c r="N16" s="16"/>
      <c r="O16" s="16"/>
      <c r="P16" s="14"/>
      <c r="Q16" s="14"/>
      <c r="R16" s="14"/>
    </row>
    <row r="17" spans="1:18" ht="15.5" x14ac:dyDescent="0.35">
      <c r="A17" s="35">
        <f>'Skor Variabel'!B17</f>
        <v>2.5714285714285716</v>
      </c>
      <c r="B17" s="36">
        <f>'Skor Variabel'!C17</f>
        <v>2.2857142857142856</v>
      </c>
      <c r="C17" s="36">
        <f>'Skor Variabel'!D17</f>
        <v>3.4285714285714284</v>
      </c>
      <c r="D17" s="36">
        <f>'Skor Variabel'!E17</f>
        <v>2</v>
      </c>
      <c r="E17" s="37">
        <f>'Skor Variabel'!F17</f>
        <v>3</v>
      </c>
      <c r="J17" s="24" t="s">
        <v>98</v>
      </c>
      <c r="K17" s="25">
        <v>47</v>
      </c>
      <c r="L17" s="25">
        <v>7.6246744791666643</v>
      </c>
      <c r="M17" s="16"/>
      <c r="N17" s="16"/>
      <c r="O17" s="16"/>
      <c r="P17" s="14"/>
      <c r="Q17" s="14"/>
      <c r="R17" s="14"/>
    </row>
    <row r="18" spans="1:18" ht="15.5" x14ac:dyDescent="0.35">
      <c r="A18" s="35">
        <f>'Skor Variabel'!B18</f>
        <v>3</v>
      </c>
      <c r="B18" s="36">
        <f>'Skor Variabel'!C18</f>
        <v>2.7142857142857144</v>
      </c>
      <c r="C18" s="36">
        <f>'Skor Variabel'!D18</f>
        <v>3.1428571428571428</v>
      </c>
      <c r="D18" s="36">
        <f>'Skor Variabel'!E18</f>
        <v>2.8333333333333335</v>
      </c>
      <c r="E18" s="37">
        <f>'Skor Variabel'!F18</f>
        <v>2.875</v>
      </c>
      <c r="J18" s="14"/>
      <c r="K18" s="14"/>
      <c r="L18" s="14"/>
      <c r="M18" s="14"/>
      <c r="N18" s="14"/>
      <c r="O18" s="14"/>
      <c r="P18" s="14"/>
      <c r="Q18" s="14"/>
      <c r="R18" s="14"/>
    </row>
    <row r="19" spans="1:18" ht="15.5" x14ac:dyDescent="0.35">
      <c r="A19" s="35">
        <f>'Skor Variabel'!B19</f>
        <v>2.7142857142857144</v>
      </c>
      <c r="B19" s="36">
        <f>'Skor Variabel'!C19</f>
        <v>2.8571428571428572</v>
      </c>
      <c r="C19" s="36">
        <f>'Skor Variabel'!D19</f>
        <v>2.8571428571428572</v>
      </c>
      <c r="D19" s="36">
        <f>'Skor Variabel'!E19</f>
        <v>2.8333333333333335</v>
      </c>
      <c r="E19" s="37">
        <f>'Skor Variabel'!F19</f>
        <v>3</v>
      </c>
      <c r="J19" s="18"/>
      <c r="K19" s="19" t="s">
        <v>105</v>
      </c>
      <c r="L19" s="19" t="s">
        <v>93</v>
      </c>
      <c r="M19" s="19" t="s">
        <v>106</v>
      </c>
      <c r="N19" s="19" t="s">
        <v>107</v>
      </c>
      <c r="O19" s="19" t="s">
        <v>108</v>
      </c>
      <c r="P19" s="19" t="s">
        <v>109</v>
      </c>
      <c r="Q19" s="19" t="s">
        <v>110</v>
      </c>
      <c r="R19" s="19" t="s">
        <v>111</v>
      </c>
    </row>
    <row r="20" spans="1:18" ht="15.5" x14ac:dyDescent="0.35">
      <c r="A20" s="35">
        <f>'Skor Variabel'!B20</f>
        <v>4</v>
      </c>
      <c r="B20" s="36">
        <f>'Skor Variabel'!C20</f>
        <v>4</v>
      </c>
      <c r="C20" s="36">
        <f>'Skor Variabel'!D20</f>
        <v>4</v>
      </c>
      <c r="D20" s="36">
        <f>'Skor Variabel'!E20</f>
        <v>4</v>
      </c>
      <c r="E20" s="37">
        <f>'Skor Variabel'!F20</f>
        <v>4</v>
      </c>
      <c r="J20" s="12" t="s">
        <v>99</v>
      </c>
      <c r="K20" s="15">
        <v>0.23996191185719573</v>
      </c>
      <c r="L20" s="15">
        <v>0.19720811822348827</v>
      </c>
      <c r="M20" s="15">
        <v>1.2167953024391027</v>
      </c>
      <c r="N20" s="15">
        <v>0.23031872586652302</v>
      </c>
      <c r="O20" s="15">
        <v>-0.1577461617885117</v>
      </c>
      <c r="P20" s="15">
        <v>0.6376699855029031</v>
      </c>
      <c r="Q20" s="15">
        <v>-0.1577461617885117</v>
      </c>
      <c r="R20" s="15">
        <v>0.6376699855029031</v>
      </c>
    </row>
    <row r="21" spans="1:18" ht="15.5" x14ac:dyDescent="0.35">
      <c r="A21" s="35">
        <f>'Skor Variabel'!B21</f>
        <v>4</v>
      </c>
      <c r="B21" s="36">
        <f>'Skor Variabel'!C21</f>
        <v>4</v>
      </c>
      <c r="C21" s="36">
        <f>'Skor Variabel'!D21</f>
        <v>4</v>
      </c>
      <c r="D21" s="36">
        <f>'Skor Variabel'!E21</f>
        <v>4</v>
      </c>
      <c r="E21" s="37">
        <f>'Skor Variabel'!F21</f>
        <v>4</v>
      </c>
      <c r="J21" s="12" t="s">
        <v>36</v>
      </c>
      <c r="K21" s="15">
        <v>0.109233705121801</v>
      </c>
      <c r="L21" s="15">
        <v>7.8247609798188136E-2</v>
      </c>
      <c r="M21" s="15">
        <v>1.3960005347579392</v>
      </c>
      <c r="N21" s="26">
        <v>0.16988061244747399</v>
      </c>
      <c r="O21" s="15">
        <v>-4.8567639166427534E-2</v>
      </c>
      <c r="P21" s="15">
        <v>0.26703504941002992</v>
      </c>
      <c r="Q21" s="15">
        <v>-4.8567639166427534E-2</v>
      </c>
      <c r="R21" s="15">
        <v>0.26703504941002992</v>
      </c>
    </row>
    <row r="22" spans="1:18" ht="15.5" x14ac:dyDescent="0.35">
      <c r="A22" s="35">
        <f>'Skor Variabel'!B22</f>
        <v>4</v>
      </c>
      <c r="B22" s="36">
        <f>'Skor Variabel'!C22</f>
        <v>4</v>
      </c>
      <c r="C22" s="36">
        <f>'Skor Variabel'!D22</f>
        <v>4</v>
      </c>
      <c r="D22" s="36">
        <f>'Skor Variabel'!E22</f>
        <v>4</v>
      </c>
      <c r="E22" s="37">
        <f>'Skor Variabel'!F22</f>
        <v>3.625</v>
      </c>
      <c r="J22" s="12" t="s">
        <v>37</v>
      </c>
      <c r="K22" s="15">
        <v>0.13158390767585401</v>
      </c>
      <c r="L22" s="15">
        <v>9.5403314519479088E-2</v>
      </c>
      <c r="M22" s="15">
        <v>1.3792383245656239</v>
      </c>
      <c r="N22" s="26">
        <v>0.17495304007036699</v>
      </c>
      <c r="O22" s="15">
        <v>-6.0815212496058563E-2</v>
      </c>
      <c r="P22" s="15">
        <v>0.32398302784776578</v>
      </c>
      <c r="Q22" s="15">
        <v>-6.0815212496058563E-2</v>
      </c>
      <c r="R22" s="15">
        <v>0.32398302784776578</v>
      </c>
    </row>
    <row r="23" spans="1:18" ht="15.5" x14ac:dyDescent="0.35">
      <c r="A23" s="35">
        <f>'Skor Variabel'!B23</f>
        <v>3</v>
      </c>
      <c r="B23" s="36">
        <f>'Skor Variabel'!C23</f>
        <v>3</v>
      </c>
      <c r="C23" s="36">
        <f>'Skor Variabel'!D23</f>
        <v>3</v>
      </c>
      <c r="D23" s="36">
        <f>'Skor Variabel'!E23</f>
        <v>3</v>
      </c>
      <c r="E23" s="37">
        <f>'Skor Variabel'!F23</f>
        <v>3</v>
      </c>
      <c r="J23" s="12" t="s">
        <v>38</v>
      </c>
      <c r="K23" s="15">
        <v>0.36883893214314001</v>
      </c>
      <c r="L23" s="15">
        <v>8.3231001591196285E-2</v>
      </c>
      <c r="M23" s="15">
        <v>4.4315089941456884</v>
      </c>
      <c r="N23" s="30">
        <v>6.3527249428713405E-5</v>
      </c>
      <c r="O23" s="15">
        <v>0.20098762050025623</v>
      </c>
      <c r="P23" s="15">
        <v>0.5366902437860247</v>
      </c>
      <c r="Q23" s="15">
        <v>0.20098762050025623</v>
      </c>
      <c r="R23" s="15">
        <v>0.5366902437860247</v>
      </c>
    </row>
    <row r="24" spans="1:18" ht="15.5" x14ac:dyDescent="0.35">
      <c r="A24" s="35">
        <f>'Skor Variabel'!B24</f>
        <v>3.2857142857142856</v>
      </c>
      <c r="B24" s="36">
        <f>'Skor Variabel'!C24</f>
        <v>3</v>
      </c>
      <c r="C24" s="36">
        <f>'Skor Variabel'!D24</f>
        <v>3</v>
      </c>
      <c r="D24" s="36">
        <f>'Skor Variabel'!E24</f>
        <v>3</v>
      </c>
      <c r="E24" s="37">
        <f>'Skor Variabel'!F24</f>
        <v>3</v>
      </c>
      <c r="J24" s="12" t="s">
        <v>39</v>
      </c>
      <c r="K24" s="15">
        <v>0.31305547842855402</v>
      </c>
      <c r="L24" s="15">
        <v>0.10320430138751607</v>
      </c>
      <c r="M24" s="15">
        <v>3.0333568874525842</v>
      </c>
      <c r="N24" s="30">
        <v>4.0905908725701297E-3</v>
      </c>
      <c r="O24" s="15">
        <v>0.10492416889359316</v>
      </c>
      <c r="P24" s="15">
        <v>0.52118678796351525</v>
      </c>
      <c r="Q24" s="15">
        <v>0.10492416889359316</v>
      </c>
      <c r="R24" s="15">
        <v>0.52118678796351525</v>
      </c>
    </row>
    <row r="25" spans="1:18" ht="15.5" x14ac:dyDescent="0.35">
      <c r="A25" s="35">
        <f>'Skor Variabel'!B25</f>
        <v>3.4285714285714284</v>
      </c>
      <c r="B25" s="36">
        <f>'Skor Variabel'!C25</f>
        <v>2.8571428571428572</v>
      </c>
      <c r="C25" s="36">
        <f>'Skor Variabel'!D25</f>
        <v>3.4285714285714284</v>
      </c>
      <c r="D25" s="36">
        <f>'Skor Variabel'!E25</f>
        <v>3.1666666666666665</v>
      </c>
      <c r="E25" s="37">
        <f>'Skor Variabel'!F25</f>
        <v>3.25</v>
      </c>
    </row>
    <row r="26" spans="1:18" ht="15.5" x14ac:dyDescent="0.35">
      <c r="A26" s="35">
        <f>'Skor Variabel'!B26</f>
        <v>2.1428571428571428</v>
      </c>
      <c r="B26" s="36">
        <f>'Skor Variabel'!C26</f>
        <v>2.5714285714285716</v>
      </c>
      <c r="C26" s="36">
        <f>'Skor Variabel'!D26</f>
        <v>3</v>
      </c>
      <c r="D26" s="36">
        <f>'Skor Variabel'!E26</f>
        <v>3</v>
      </c>
      <c r="E26" s="37">
        <f>'Skor Variabel'!F26</f>
        <v>3</v>
      </c>
    </row>
    <row r="27" spans="1:18" ht="15.5" x14ac:dyDescent="0.35">
      <c r="A27" s="35">
        <f>'Skor Variabel'!B27</f>
        <v>3</v>
      </c>
      <c r="B27" s="36">
        <f>'Skor Variabel'!C27</f>
        <v>2.4285714285714284</v>
      </c>
      <c r="C27" s="36">
        <f>'Skor Variabel'!D27</f>
        <v>3.4285714285714284</v>
      </c>
      <c r="D27" s="36">
        <f>'Skor Variabel'!E27</f>
        <v>2.8333333333333335</v>
      </c>
      <c r="E27" s="37">
        <f>'Skor Variabel'!F27</f>
        <v>3</v>
      </c>
      <c r="J27" s="28" t="s">
        <v>41</v>
      </c>
      <c r="K27" s="28" t="s">
        <v>112</v>
      </c>
      <c r="L27" s="28" t="s">
        <v>113</v>
      </c>
      <c r="M27" s="28" t="s">
        <v>114</v>
      </c>
    </row>
    <row r="28" spans="1:18" ht="15.5" x14ac:dyDescent="0.35">
      <c r="A28" s="35">
        <f>'Skor Variabel'!B28</f>
        <v>3</v>
      </c>
      <c r="B28" s="36">
        <f>'Skor Variabel'!C28</f>
        <v>3</v>
      </c>
      <c r="C28" s="36">
        <f>'Skor Variabel'!D28</f>
        <v>3</v>
      </c>
      <c r="D28" s="36">
        <f>'Skor Variabel'!E28</f>
        <v>3</v>
      </c>
      <c r="E28" s="37">
        <f>'Skor Variabel'!F28</f>
        <v>3</v>
      </c>
      <c r="J28" s="13" t="s">
        <v>36</v>
      </c>
      <c r="K28" s="5">
        <v>0.109233705121801</v>
      </c>
      <c r="L28" s="5">
        <v>0.16988061244747399</v>
      </c>
      <c r="M28" s="5" t="s">
        <v>115</v>
      </c>
    </row>
    <row r="29" spans="1:18" ht="15.5" x14ac:dyDescent="0.35">
      <c r="A29" s="35">
        <f>'Skor Variabel'!B29</f>
        <v>3</v>
      </c>
      <c r="B29" s="36">
        <f>'Skor Variabel'!C29</f>
        <v>3</v>
      </c>
      <c r="C29" s="36">
        <f>'Skor Variabel'!D29</f>
        <v>3</v>
      </c>
      <c r="D29" s="36">
        <f>'Skor Variabel'!E29</f>
        <v>3</v>
      </c>
      <c r="E29" s="37">
        <f>'Skor Variabel'!F29</f>
        <v>3.25</v>
      </c>
      <c r="J29" s="13" t="s">
        <v>37</v>
      </c>
      <c r="K29" s="5">
        <v>0.13158390767585401</v>
      </c>
      <c r="L29" s="5">
        <v>0.17495304007036699</v>
      </c>
      <c r="M29" s="5" t="s">
        <v>115</v>
      </c>
    </row>
    <row r="30" spans="1:18" ht="15.5" x14ac:dyDescent="0.35">
      <c r="A30" s="35">
        <f>'Skor Variabel'!B30</f>
        <v>2.8571428571428572</v>
      </c>
      <c r="B30" s="36">
        <f>'Skor Variabel'!C30</f>
        <v>2.5714285714285716</v>
      </c>
      <c r="C30" s="36">
        <f>'Skor Variabel'!D30</f>
        <v>3.4285714285714284</v>
      </c>
      <c r="D30" s="36">
        <f>'Skor Variabel'!E30</f>
        <v>3</v>
      </c>
      <c r="E30" s="37">
        <f>'Skor Variabel'!F30</f>
        <v>3.25</v>
      </c>
      <c r="J30" s="29" t="s">
        <v>38</v>
      </c>
      <c r="K30" s="29">
        <v>0.36883893214314001</v>
      </c>
      <c r="L30" s="29">
        <v>6.3527249428713405E-5</v>
      </c>
      <c r="M30" s="29" t="s">
        <v>116</v>
      </c>
    </row>
    <row r="31" spans="1:18" ht="15.5" x14ac:dyDescent="0.35">
      <c r="A31" s="35">
        <f>'Skor Variabel'!B31</f>
        <v>2.8571428571428572</v>
      </c>
      <c r="B31" s="36">
        <f>'Skor Variabel'!C31</f>
        <v>3</v>
      </c>
      <c r="C31" s="36">
        <f>'Skor Variabel'!D31</f>
        <v>3</v>
      </c>
      <c r="D31" s="36">
        <f>'Skor Variabel'!E31</f>
        <v>3.1666666666666665</v>
      </c>
      <c r="E31" s="37">
        <f>'Skor Variabel'!F31</f>
        <v>3.125</v>
      </c>
      <c r="J31" s="29" t="s">
        <v>39</v>
      </c>
      <c r="K31" s="29">
        <v>0.31305547842855402</v>
      </c>
      <c r="L31" s="29">
        <v>4.0905908725701297E-3</v>
      </c>
      <c r="M31" s="29" t="s">
        <v>116</v>
      </c>
    </row>
    <row r="32" spans="1:18" ht="15.5" x14ac:dyDescent="0.35">
      <c r="A32" s="35">
        <f>'Skor Variabel'!B32</f>
        <v>3</v>
      </c>
      <c r="B32" s="36">
        <f>'Skor Variabel'!C32</f>
        <v>3</v>
      </c>
      <c r="C32" s="36">
        <f>'Skor Variabel'!D32</f>
        <v>3</v>
      </c>
      <c r="D32" s="36">
        <f>'Skor Variabel'!E32</f>
        <v>3</v>
      </c>
      <c r="E32" s="37">
        <f>'Skor Variabel'!F32</f>
        <v>3</v>
      </c>
    </row>
    <row r="33" spans="1:5" ht="15.5" x14ac:dyDescent="0.35">
      <c r="A33" s="35">
        <f>'Skor Variabel'!B33</f>
        <v>2.7142857142857144</v>
      </c>
      <c r="B33" s="36">
        <f>'Skor Variabel'!C33</f>
        <v>2.7142857142857144</v>
      </c>
      <c r="C33" s="36">
        <f>'Skor Variabel'!D33</f>
        <v>3.5714285714285716</v>
      </c>
      <c r="D33" s="36">
        <f>'Skor Variabel'!E33</f>
        <v>2.8333333333333335</v>
      </c>
      <c r="E33" s="37">
        <f>'Skor Variabel'!F33</f>
        <v>3.125</v>
      </c>
    </row>
    <row r="34" spans="1:5" ht="15.5" x14ac:dyDescent="0.35">
      <c r="A34" s="35">
        <f>'Skor Variabel'!B34</f>
        <v>3</v>
      </c>
      <c r="B34" s="36">
        <f>'Skor Variabel'!C34</f>
        <v>3</v>
      </c>
      <c r="C34" s="36">
        <f>'Skor Variabel'!D34</f>
        <v>3</v>
      </c>
      <c r="D34" s="36">
        <f>'Skor Variabel'!E34</f>
        <v>3</v>
      </c>
      <c r="E34" s="37">
        <f>'Skor Variabel'!F34</f>
        <v>3</v>
      </c>
    </row>
    <row r="35" spans="1:5" ht="15.5" x14ac:dyDescent="0.35">
      <c r="A35" s="35">
        <f>'Skor Variabel'!B35</f>
        <v>3.7142857142857144</v>
      </c>
      <c r="B35" s="36">
        <f>'Skor Variabel'!C35</f>
        <v>4</v>
      </c>
      <c r="C35" s="36">
        <f>'Skor Variabel'!D35</f>
        <v>4</v>
      </c>
      <c r="D35" s="36">
        <f>'Skor Variabel'!E35</f>
        <v>4</v>
      </c>
      <c r="E35" s="37">
        <f>'Skor Variabel'!F35</f>
        <v>4</v>
      </c>
    </row>
    <row r="36" spans="1:5" ht="15.5" x14ac:dyDescent="0.35">
      <c r="A36" s="35">
        <f>'Skor Variabel'!B36</f>
        <v>3.4285714285714284</v>
      </c>
      <c r="B36" s="36">
        <f>'Skor Variabel'!C36</f>
        <v>2.8571428571428572</v>
      </c>
      <c r="C36" s="36">
        <f>'Skor Variabel'!D36</f>
        <v>3</v>
      </c>
      <c r="D36" s="36">
        <f>'Skor Variabel'!E36</f>
        <v>3</v>
      </c>
      <c r="E36" s="37">
        <f>'Skor Variabel'!F36</f>
        <v>3</v>
      </c>
    </row>
    <row r="37" spans="1:5" ht="15.5" x14ac:dyDescent="0.35">
      <c r="A37" s="35">
        <f>'Skor Variabel'!B37</f>
        <v>3</v>
      </c>
      <c r="B37" s="36">
        <f>'Skor Variabel'!C37</f>
        <v>2.8571428571428572</v>
      </c>
      <c r="C37" s="36">
        <f>'Skor Variabel'!D37</f>
        <v>3</v>
      </c>
      <c r="D37" s="36">
        <f>'Skor Variabel'!E37</f>
        <v>3</v>
      </c>
      <c r="E37" s="37">
        <f>'Skor Variabel'!F37</f>
        <v>3</v>
      </c>
    </row>
    <row r="38" spans="1:5" ht="15.5" x14ac:dyDescent="0.35">
      <c r="A38" s="35">
        <f>'Skor Variabel'!B38</f>
        <v>3.2857142857142856</v>
      </c>
      <c r="B38" s="36">
        <f>'Skor Variabel'!C38</f>
        <v>3</v>
      </c>
      <c r="C38" s="36">
        <f>'Skor Variabel'!D38</f>
        <v>3.1428571428571428</v>
      </c>
      <c r="D38" s="36">
        <f>'Skor Variabel'!E38</f>
        <v>3</v>
      </c>
      <c r="E38" s="37">
        <f>'Skor Variabel'!F38</f>
        <v>3.125</v>
      </c>
    </row>
    <row r="39" spans="1:5" ht="15.5" x14ac:dyDescent="0.35">
      <c r="A39" s="35">
        <f>'Skor Variabel'!B39</f>
        <v>3.4285714285714284</v>
      </c>
      <c r="B39" s="36">
        <f>'Skor Variabel'!C39</f>
        <v>3.2857142857142856</v>
      </c>
      <c r="C39" s="36">
        <f>'Skor Variabel'!D39</f>
        <v>3.7142857142857144</v>
      </c>
      <c r="D39" s="36">
        <f>'Skor Variabel'!E39</f>
        <v>3.3333333333333335</v>
      </c>
      <c r="E39" s="37">
        <f>'Skor Variabel'!F39</f>
        <v>3.625</v>
      </c>
    </row>
    <row r="40" spans="1:5" ht="15.5" x14ac:dyDescent="0.35">
      <c r="A40" s="35">
        <f>'Skor Variabel'!B40</f>
        <v>3.2857142857142856</v>
      </c>
      <c r="B40" s="36">
        <f>'Skor Variabel'!C40</f>
        <v>2.8571428571428572</v>
      </c>
      <c r="C40" s="36">
        <f>'Skor Variabel'!D40</f>
        <v>3.2857142857142856</v>
      </c>
      <c r="D40" s="36">
        <f>'Skor Variabel'!E40</f>
        <v>3</v>
      </c>
      <c r="E40" s="37">
        <f>'Skor Variabel'!F40</f>
        <v>3</v>
      </c>
    </row>
    <row r="41" spans="1:5" ht="15.5" x14ac:dyDescent="0.35">
      <c r="A41" s="35">
        <f>'Skor Variabel'!B41</f>
        <v>2.5714285714285716</v>
      </c>
      <c r="B41" s="36">
        <f>'Skor Variabel'!C41</f>
        <v>3.1428571428571428</v>
      </c>
      <c r="C41" s="36">
        <f>'Skor Variabel'!D41</f>
        <v>3.2857142857142856</v>
      </c>
      <c r="D41" s="36">
        <f>'Skor Variabel'!E41</f>
        <v>3.1666666666666665</v>
      </c>
      <c r="E41" s="37">
        <f>'Skor Variabel'!F41</f>
        <v>3</v>
      </c>
    </row>
    <row r="42" spans="1:5" ht="15.5" x14ac:dyDescent="0.35">
      <c r="A42" s="35">
        <f>'Skor Variabel'!B42</f>
        <v>3</v>
      </c>
      <c r="B42" s="36">
        <f>'Skor Variabel'!C42</f>
        <v>3</v>
      </c>
      <c r="C42" s="36">
        <f>'Skor Variabel'!D42</f>
        <v>3</v>
      </c>
      <c r="D42" s="36">
        <f>'Skor Variabel'!E42</f>
        <v>3</v>
      </c>
      <c r="E42" s="37">
        <f>'Skor Variabel'!F42</f>
        <v>3</v>
      </c>
    </row>
    <row r="43" spans="1:5" ht="15.5" x14ac:dyDescent="0.35">
      <c r="A43" s="35">
        <f>'Skor Variabel'!B43</f>
        <v>3</v>
      </c>
      <c r="B43" s="36">
        <f>'Skor Variabel'!C43</f>
        <v>3</v>
      </c>
      <c r="C43" s="36">
        <f>'Skor Variabel'!D43</f>
        <v>3.1428571428571428</v>
      </c>
      <c r="D43" s="36">
        <f>'Skor Variabel'!E43</f>
        <v>3</v>
      </c>
      <c r="E43" s="37">
        <f>'Skor Variabel'!F43</f>
        <v>2.75</v>
      </c>
    </row>
    <row r="44" spans="1:5" ht="15.5" x14ac:dyDescent="0.35">
      <c r="A44" s="35">
        <f>'Skor Variabel'!B44</f>
        <v>3</v>
      </c>
      <c r="B44" s="36">
        <f>'Skor Variabel'!C44</f>
        <v>3</v>
      </c>
      <c r="C44" s="36">
        <f>'Skor Variabel'!D44</f>
        <v>3</v>
      </c>
      <c r="D44" s="36">
        <f>'Skor Variabel'!E44</f>
        <v>3</v>
      </c>
      <c r="E44" s="37">
        <f>'Skor Variabel'!F44</f>
        <v>3</v>
      </c>
    </row>
    <row r="45" spans="1:5" ht="15.5" x14ac:dyDescent="0.35">
      <c r="A45" s="35">
        <f>'Skor Variabel'!B45</f>
        <v>3</v>
      </c>
      <c r="B45" s="36">
        <f>'Skor Variabel'!C45</f>
        <v>3</v>
      </c>
      <c r="C45" s="36">
        <f>'Skor Variabel'!D45</f>
        <v>3</v>
      </c>
      <c r="D45" s="36">
        <f>'Skor Variabel'!E45</f>
        <v>3</v>
      </c>
      <c r="E45" s="37">
        <f>'Skor Variabel'!F45</f>
        <v>3</v>
      </c>
    </row>
    <row r="46" spans="1:5" ht="15.5" x14ac:dyDescent="0.35">
      <c r="A46" s="35">
        <f>'Skor Variabel'!B46</f>
        <v>2.7142857142857144</v>
      </c>
      <c r="B46" s="36">
        <f>'Skor Variabel'!C46</f>
        <v>2.8571428571428572</v>
      </c>
      <c r="C46" s="36">
        <f>'Skor Variabel'!D46</f>
        <v>3</v>
      </c>
      <c r="D46" s="36">
        <f>'Skor Variabel'!E46</f>
        <v>2.8333333333333335</v>
      </c>
      <c r="E46" s="37">
        <f>'Skor Variabel'!F46</f>
        <v>3</v>
      </c>
    </row>
    <row r="47" spans="1:5" ht="15.5" x14ac:dyDescent="0.35">
      <c r="A47" s="35">
        <f>'Skor Variabel'!B47</f>
        <v>3.5714285714285716</v>
      </c>
      <c r="B47" s="36">
        <f>'Skor Variabel'!C47</f>
        <v>2.2857142857142856</v>
      </c>
      <c r="C47" s="36">
        <f>'Skor Variabel'!D47</f>
        <v>3.5714285714285716</v>
      </c>
      <c r="D47" s="36">
        <f>'Skor Variabel'!E47</f>
        <v>3</v>
      </c>
      <c r="E47" s="37">
        <f>'Skor Variabel'!F47</f>
        <v>3.25</v>
      </c>
    </row>
    <row r="48" spans="1:5" ht="15.5" x14ac:dyDescent="0.35">
      <c r="A48" s="35">
        <f>'Skor Variabel'!B48</f>
        <v>3.7142857142857144</v>
      </c>
      <c r="B48" s="36">
        <f>'Skor Variabel'!C48</f>
        <v>2.8571428571428572</v>
      </c>
      <c r="C48" s="36">
        <f>'Skor Variabel'!D48</f>
        <v>3.1428571428571428</v>
      </c>
      <c r="D48" s="36">
        <f>'Skor Variabel'!E48</f>
        <v>3</v>
      </c>
      <c r="E48" s="37">
        <f>'Skor Variabel'!F48</f>
        <v>3</v>
      </c>
    </row>
    <row r="49" spans="1:5" ht="15.5" x14ac:dyDescent="0.35">
      <c r="A49" s="38">
        <f>'Skor Variabel'!B49</f>
        <v>2.2857142857142856</v>
      </c>
      <c r="B49" s="39">
        <f>'Skor Variabel'!C49</f>
        <v>1.5714285714285714</v>
      </c>
      <c r="C49" s="39">
        <f>'Skor Variabel'!D49</f>
        <v>2.7142857142857144</v>
      </c>
      <c r="D49" s="39">
        <f>'Skor Variabel'!E49</f>
        <v>2.5</v>
      </c>
      <c r="E49" s="40">
        <f>'Skor Variabel'!F49</f>
        <v>2.375</v>
      </c>
    </row>
  </sheetData>
  <conditionalFormatting sqref="A2:E49">
    <cfRule type="cellIs" dxfId="25" priority="1" operator="greaterThan">
      <formula>3.5</formula>
    </cfRule>
    <cfRule type="cellIs" dxfId="24" priority="2" operator="lessThan">
      <formula>2.5</formula>
    </cfRule>
    <cfRule type="cellIs" dxfId="23" priority="3" operator="between">
      <formula>2.5</formula>
      <formula>3.5</formula>
    </cfRule>
    <cfRule type="cellIs" dxfId="22" priority="4" operator="between">
      <formula>"2.5"</formula>
      <formula>"3.5"</formula>
    </cfRule>
    <cfRule type="cellIs" dxfId="21" priority="5" operator="lessThan">
      <formula>"2.5"</formula>
    </cfRule>
    <cfRule type="cellIs" dxfId="20" priority="7" operator="lessThan">
      <formula>2.785714286</formula>
    </cfRule>
    <cfRule type="cellIs" dxfId="19" priority="8" operator="greaterThan">
      <formula>2.785714286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Mentah</vt:lpstr>
      <vt:lpstr>Skor Variabel</vt:lpstr>
      <vt:lpstr>Analisis Deskriptif</vt:lpstr>
      <vt:lpstr>Siap Regresi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Wildan Nabila</cp:lastModifiedBy>
  <dcterms:created xsi:type="dcterms:W3CDTF">2025-08-13T03:38:33Z</dcterms:created>
  <dcterms:modified xsi:type="dcterms:W3CDTF">2025-08-14T06:21:25Z</dcterms:modified>
</cp:coreProperties>
</file>